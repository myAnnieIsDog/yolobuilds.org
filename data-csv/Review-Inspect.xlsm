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2.xml" ContentType="application/vnd.openxmlformats-officedocument.drawing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activeX/activeX10.xml" ContentType="application/vnd.ms-office.activeX+xml"/>
  <Override PartName="/xl/activeX/activeX9.xml" ContentType="application/vnd.ms-office.activeX+xml"/>
  <Override PartName="/xl/activeX/activeX8.xml" ContentType="application/vnd.ms-office.activeX+xml"/>
  <Override PartName="/xl/activeX/activeX7.xml" ContentType="application/vnd.ms-office.activeX+xml"/>
  <Override PartName="/xl/activeX/activeX6.xml" ContentType="application/vnd.ms-office.activeX+xml"/>
  <Override PartName="/xl/activeX/activeX5.xml" ContentType="application/vnd.ms-office.activeX+xml"/>
  <Override PartName="/xl/activeX/activeX4.xml" ContentType="application/vnd.ms-office.activeX+xml"/>
  <Override PartName="/xl/activeX/activeX3.xml" ContentType="application/vnd.ms-office.activeX+xml"/>
  <Override PartName="/xl/activeX/activeX2.xml" ContentType="application/vnd.ms-office.activeX+xml"/>
  <Override PartName="/xl/activeX/activeX1.xml" ContentType="application/vnd.ms-office.activeX+xml"/>
  <Override PartName="/xl/activeX/activeX12.xml" ContentType="application/vnd.ms-office.activeX+xml"/>
  <Override PartName="/xl/activeX/activeX11.xml" ContentType="application/vnd.ms-office.activeX+xml"/>
  <Override PartName="/xl/activeX/activeX10.bin" ContentType="application/vnd.ms-office.activeX"/>
  <Override PartName="/xl/activeX/activeX9.bin" ContentType="application/vnd.ms-office.activeX"/>
  <Override PartName="/xl/activeX/activeX8.bin" ContentType="application/vnd.ms-office.activeX"/>
  <Override PartName="/xl/activeX/activeX7.bin" ContentType="application/vnd.ms-office.activeX"/>
  <Override PartName="/xl/activeX/activeX6.bin" ContentType="application/vnd.ms-office.activeX"/>
  <Override PartName="/xl/activeX/activeX5.bin" ContentType="application/vnd.ms-office.activeX"/>
  <Override PartName="/xl/activeX/activeX4.bin" ContentType="application/vnd.ms-office.activeX"/>
  <Override PartName="/xl/activeX/activeX3.bin" ContentType="application/vnd.ms-office.activeX"/>
  <Override PartName="/xl/activeX/activeX2.bin" ContentType="application/vnd.ms-office.activeX"/>
  <Override PartName="/xl/activeX/activeX1.bin" ContentType="application/vnd.ms-office.activeX"/>
  <Override PartName="/xl/activeX/activeX12.bin" ContentType="application/vnd.ms-office.activeX"/>
  <Override PartName="/xl/activeX/activeX1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00000000-0000-0000-0000-000000000000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yolocountyorg-my.sharepoint.com/personal/sdoolittle_yolocounty_org/Documents/YoloBuilds.org/Database/"/>
    </mc:Choice>
  </mc:AlternateContent>
  <xr:revisionPtr revIDLastSave="2236" documentId="8_{9C5612A8-8F27-4760-9316-395FB692508F}" xr6:coauthVersionLast="47" xr6:coauthVersionMax="47" xr10:uidLastSave="{598A13B7-8AD8-564F-B3CA-B85E490E13EF}"/>
  <bookViews>
    <workbookView xWindow="-120" yWindow="-120" windowWidth="38640" windowHeight="21240" tabRatio="494" firstSheet="4" activeTab="1" xr2:uid="{00000000-000D-0000-FFFF-FFFF00000000}"/>
  </bookViews>
  <sheets>
    <sheet name="Database" sheetId="13" r:id="rId1"/>
    <sheet name="Contacts" sheetId="16" r:id="rId2"/>
    <sheet name="Actions" sheetId="11" r:id="rId3"/>
    <sheet name="Status" sheetId="4" r:id="rId4"/>
    <sheet name="Users" sheetId="9" r:id="rId5"/>
    <sheet name="Permit &amp; App" sheetId="12" r:id="rId6"/>
    <sheet name="Details" sheetId="1" r:id="rId7"/>
    <sheet name="Permit Categories" sheetId="15" r:id="rId8"/>
    <sheet name="Inspections" sheetId="2" r:id="rId9"/>
    <sheet name="Submittals" sheetId="14" r:id="rId10"/>
    <sheet name="Reviews" sheetId="8" r:id="rId11"/>
    <sheet name="Fees" sheetId="6" r:id="rId12"/>
  </sheets>
  <definedNames>
    <definedName name="_xlnm._FilterDatabase" localSheetId="4" hidden="1">Users!$B$2:$R$27</definedName>
    <definedName name="Acc">Details!$C$12</definedName>
    <definedName name="AG">Details!$C$3</definedName>
    <definedName name="BLD">Details!$C$14</definedName>
    <definedName name="Com">Details!$C$11</definedName>
    <definedName name="DEM">Details!$C$4</definedName>
    <definedName name="DEMO">Details!$C$4</definedName>
    <definedName name="ELC">Details!$C$7</definedName>
    <definedName name="GRADE">Details!$C$5</definedName>
    <definedName name="GRD">Details!$C$5</definedName>
    <definedName name="MCH">Details!$C$8</definedName>
    <definedName name="OTC">Details!#REF!</definedName>
    <definedName name="PLB">Details!$C$9</definedName>
    <definedName name="POOL">Details!$C$6</definedName>
    <definedName name="_xlnm.Print_Area" localSheetId="4">Users!$B$2:$R$40</definedName>
    <definedName name="_xlnm.Print_Area" localSheetId="0">Database!$B$2:$I$20</definedName>
    <definedName name="_xlnm.Print_Area" localSheetId="2">Actions!$B$2:$H$21</definedName>
    <definedName name="_xlnm.Print_Area" localSheetId="5">'Permit &amp; App'!$B$2:$E$28</definedName>
    <definedName name="Res">Details!$C$10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5" l="1"/>
  <c r="B12" i="15"/>
  <c r="B11" i="15"/>
  <c r="B10" i="15"/>
  <c r="B9" i="15"/>
  <c r="B8" i="15"/>
  <c r="B7" i="15"/>
  <c r="B6" i="15"/>
  <c r="B5" i="15"/>
  <c r="B4" i="15"/>
  <c r="B3" i="15"/>
  <c r="C14" i="14"/>
  <c r="C13" i="14"/>
  <c r="C12" i="14"/>
  <c r="C11" i="14"/>
  <c r="C10" i="14"/>
  <c r="C9" i="14"/>
  <c r="C8" i="14"/>
  <c r="C7" i="14"/>
  <c r="C6" i="14"/>
  <c r="C5" i="14"/>
  <c r="C3" i="14"/>
  <c r="A231" i="1"/>
  <c r="J30" i="8"/>
  <c r="A230" i="1"/>
  <c r="J29" i="8"/>
  <c r="A229" i="1"/>
  <c r="J28" i="8"/>
  <c r="A228" i="1"/>
  <c r="J27" i="8"/>
  <c r="A227" i="1"/>
  <c r="J26" i="8"/>
  <c r="A226" i="1"/>
  <c r="J25" i="8"/>
  <c r="J24" i="8"/>
  <c r="A224" i="1"/>
  <c r="J23" i="8"/>
  <c r="A223" i="1"/>
  <c r="J22" i="8"/>
  <c r="A222" i="1"/>
  <c r="J21" i="8"/>
  <c r="A221" i="1"/>
  <c r="J20" i="8"/>
  <c r="J19" i="8"/>
  <c r="A219" i="1"/>
  <c r="J18" i="8"/>
  <c r="A218" i="1"/>
  <c r="J17" i="8"/>
  <c r="A217" i="1"/>
  <c r="J16" i="8"/>
  <c r="A216" i="1"/>
  <c r="J15" i="8"/>
  <c r="A215" i="1"/>
  <c r="J14" i="8"/>
  <c r="A214" i="1"/>
  <c r="J13" i="8"/>
  <c r="A213" i="1"/>
  <c r="J12" i="8"/>
  <c r="A212" i="1"/>
  <c r="J11" i="8"/>
  <c r="A211" i="1"/>
  <c r="J10" i="8"/>
  <c r="A210" i="1"/>
  <c r="J9" i="8"/>
  <c r="A209" i="1"/>
  <c r="J8" i="8"/>
  <c r="A208" i="1"/>
  <c r="J7" i="8"/>
  <c r="A207" i="1"/>
  <c r="J6" i="8"/>
  <c r="A206" i="1"/>
  <c r="J5" i="8"/>
  <c r="A205" i="1"/>
  <c r="J4" i="8"/>
  <c r="A204" i="1"/>
  <c r="J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C6" i="8"/>
  <c r="B6" i="8"/>
  <c r="C5" i="8"/>
  <c r="B5" i="8"/>
  <c r="C4" i="8"/>
  <c r="B4" i="8"/>
  <c r="B3" i="8"/>
  <c r="AB6" i="8"/>
  <c r="AA6" i="8"/>
  <c r="AB7" i="8"/>
  <c r="AA7" i="8"/>
  <c r="AB8" i="8"/>
  <c r="AA8" i="8"/>
  <c r="AB9" i="8"/>
  <c r="AA9" i="8"/>
  <c r="AB10" i="8"/>
  <c r="AA10" i="8"/>
  <c r="AB11" i="8"/>
  <c r="AA11" i="8"/>
  <c r="AB12" i="8"/>
  <c r="AA12" i="8"/>
  <c r="AB13" i="8"/>
  <c r="AA13" i="8"/>
  <c r="AB14" i="8"/>
  <c r="AA14" i="8"/>
  <c r="AB15" i="8"/>
  <c r="AA15" i="8"/>
  <c r="AB16" i="8"/>
  <c r="AA16" i="8"/>
  <c r="AB17" i="8"/>
  <c r="AA17" i="8"/>
  <c r="AB18" i="8"/>
  <c r="AA18" i="8"/>
  <c r="AB19" i="8"/>
  <c r="AA19" i="8"/>
  <c r="AB20" i="8"/>
  <c r="AA20" i="8"/>
  <c r="AB21" i="8"/>
  <c r="AA21" i="8"/>
  <c r="AB22" i="8"/>
  <c r="AA22" i="8"/>
  <c r="AB23" i="8"/>
  <c r="AA23" i="8"/>
  <c r="AB24" i="8"/>
  <c r="AA24" i="8"/>
  <c r="AB25" i="8"/>
  <c r="AA25" i="8"/>
  <c r="AB26" i="8"/>
  <c r="AA26" i="8"/>
  <c r="AB27" i="8"/>
  <c r="AA27" i="8"/>
  <c r="AB28" i="8"/>
  <c r="AA28" i="8"/>
  <c r="AB29" i="8"/>
  <c r="AA29" i="8"/>
  <c r="AB30" i="8"/>
  <c r="AA30" i="8"/>
  <c r="AB31" i="8"/>
  <c r="AA31" i="8"/>
  <c r="AB32" i="8"/>
  <c r="AA32" i="8"/>
  <c r="AB33" i="8"/>
  <c r="AA33" i="8"/>
  <c r="AB34" i="8"/>
  <c r="AA34" i="8"/>
  <c r="AE6" i="8"/>
  <c r="AE7" i="8"/>
  <c r="AE8" i="8"/>
  <c r="AE9" i="8"/>
  <c r="AE10" i="8"/>
  <c r="AE11" i="8"/>
  <c r="AE12" i="8"/>
  <c r="AE13" i="8"/>
  <c r="AE14" i="8"/>
  <c r="AE15" i="8"/>
  <c r="AE16" i="8"/>
  <c r="AE17" i="8"/>
  <c r="AE18" i="8"/>
  <c r="AE19" i="8"/>
  <c r="AE20" i="8"/>
  <c r="AE21" i="8"/>
  <c r="AE22" i="8"/>
  <c r="AE23" i="8"/>
  <c r="AE24" i="8"/>
  <c r="AE25" i="8"/>
  <c r="AE26" i="8"/>
  <c r="AE27" i="8"/>
  <c r="AE28" i="8"/>
  <c r="AE29" i="8"/>
  <c r="AE30" i="8"/>
  <c r="AE31" i="8"/>
  <c r="AE32" i="8"/>
  <c r="AE33" i="8"/>
  <c r="AE34" i="8"/>
  <c r="I4" i="6"/>
  <c r="B9" i="12"/>
  <c r="D9" i="12"/>
  <c r="B10" i="12"/>
  <c r="D10" i="12"/>
  <c r="B11" i="12"/>
  <c r="D11" i="12"/>
  <c r="B12" i="12"/>
  <c r="D12" i="12"/>
  <c r="B13" i="12"/>
  <c r="D13" i="12"/>
  <c r="B14" i="12"/>
  <c r="D14" i="12"/>
  <c r="B15" i="12"/>
  <c r="D15" i="12"/>
  <c r="B16" i="12"/>
  <c r="D16" i="12"/>
  <c r="B17" i="12"/>
  <c r="D17" i="12"/>
  <c r="B18" i="12"/>
  <c r="D18" i="12"/>
  <c r="B19" i="12"/>
  <c r="D19" i="12"/>
  <c r="C8" i="12"/>
  <c r="J28" i="9"/>
  <c r="I28" i="9"/>
  <c r="V26" i="8"/>
  <c r="V25" i="8"/>
  <c r="V24" i="8"/>
  <c r="V23" i="8"/>
  <c r="V22" i="8"/>
  <c r="V21" i="8"/>
  <c r="V20" i="8"/>
  <c r="V19" i="8"/>
  <c r="V18" i="8"/>
  <c r="V17" i="8"/>
  <c r="V16" i="8"/>
  <c r="V15" i="8"/>
  <c r="V14" i="8"/>
  <c r="V13" i="8"/>
  <c r="V12" i="8"/>
  <c r="V11" i="8"/>
  <c r="V10" i="8"/>
  <c r="V9" i="8"/>
  <c r="V8" i="8"/>
  <c r="V7" i="8"/>
  <c r="V6" i="8"/>
  <c r="R35" i="8"/>
  <c r="S35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I34" i="8"/>
  <c r="B231" i="1"/>
  <c r="I33" i="8"/>
  <c r="B230" i="1"/>
  <c r="I32" i="8"/>
  <c r="B229" i="1"/>
  <c r="I31" i="8"/>
  <c r="I30" i="8"/>
  <c r="B227" i="1"/>
  <c r="I29" i="8"/>
  <c r="I28" i="8"/>
  <c r="I27" i="8"/>
  <c r="B225" i="1"/>
  <c r="I26" i="8"/>
  <c r="B224" i="1"/>
  <c r="I25" i="8"/>
  <c r="B223" i="1"/>
  <c r="I24" i="8"/>
  <c r="I23" i="8"/>
  <c r="B222" i="1"/>
  <c r="I22" i="8"/>
  <c r="B221" i="1"/>
  <c r="I21" i="8"/>
  <c r="B220" i="1"/>
  <c r="I20" i="8"/>
  <c r="B219" i="1"/>
  <c r="I19" i="8"/>
  <c r="B218" i="1"/>
  <c r="I18" i="8"/>
  <c r="B217" i="1"/>
  <c r="I17" i="8"/>
  <c r="B216" i="1"/>
  <c r="I16" i="8"/>
  <c r="B215" i="1"/>
  <c r="I15" i="8"/>
  <c r="B214" i="1"/>
  <c r="I14" i="8"/>
  <c r="B213" i="1"/>
  <c r="I13" i="8"/>
  <c r="B212" i="1"/>
  <c r="I12" i="8"/>
  <c r="B211" i="1"/>
  <c r="I11" i="8"/>
  <c r="B210" i="1"/>
  <c r="I10" i="8"/>
  <c r="B209" i="1"/>
  <c r="I9" i="8"/>
  <c r="B208" i="1"/>
  <c r="I8" i="8"/>
  <c r="B226" i="1"/>
  <c r="I7" i="8"/>
  <c r="I6" i="8"/>
  <c r="B207" i="1"/>
  <c r="I5" i="8"/>
  <c r="B206" i="1"/>
  <c r="I4" i="8"/>
  <c r="B205" i="1"/>
  <c r="I3" i="8"/>
  <c r="B204" i="1"/>
  <c r="BA8" i="6"/>
  <c r="AZ8" i="6"/>
  <c r="AO8" i="6"/>
  <c r="AM8" i="6"/>
  <c r="AL8" i="6"/>
  <c r="S8" i="6"/>
  <c r="X8" i="6"/>
  <c r="U8" i="6"/>
  <c r="I8" i="6"/>
  <c r="B8" i="6"/>
  <c r="BA7" i="6"/>
  <c r="AZ7" i="6"/>
  <c r="AO7" i="6"/>
  <c r="AM7" i="6"/>
  <c r="AL7" i="6"/>
  <c r="S7" i="6"/>
  <c r="X7" i="6"/>
  <c r="U7" i="6"/>
  <c r="I7" i="6"/>
  <c r="B7" i="6"/>
  <c r="BA6" i="6"/>
  <c r="AZ6" i="6"/>
  <c r="AO6" i="6"/>
  <c r="AM6" i="6"/>
  <c r="AL6" i="6"/>
  <c r="S6" i="6"/>
  <c r="X6" i="6"/>
  <c r="U6" i="6"/>
  <c r="AB6" i="6"/>
  <c r="I6" i="6"/>
  <c r="B6" i="6"/>
  <c r="B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5" i="6"/>
  <c r="B4" i="6"/>
  <c r="BA51" i="6"/>
  <c r="AZ51" i="6"/>
  <c r="AO51" i="6"/>
  <c r="AM51" i="6"/>
  <c r="AL51" i="6"/>
  <c r="S51" i="6"/>
  <c r="X51" i="6"/>
  <c r="U51" i="6"/>
  <c r="AB51" i="6"/>
  <c r="I51" i="6"/>
  <c r="BA50" i="6"/>
  <c r="AZ50" i="6"/>
  <c r="AO50" i="6"/>
  <c r="AM50" i="6"/>
  <c r="AL50" i="6"/>
  <c r="S50" i="6"/>
  <c r="X50" i="6"/>
  <c r="U50" i="6"/>
  <c r="AB50" i="6"/>
  <c r="I50" i="6"/>
  <c r="BA49" i="6"/>
  <c r="AZ49" i="6"/>
  <c r="AO49" i="6"/>
  <c r="AM49" i="6"/>
  <c r="AL49" i="6"/>
  <c r="S49" i="6"/>
  <c r="X49" i="6"/>
  <c r="U49" i="6"/>
  <c r="AB49" i="6"/>
  <c r="I49" i="6"/>
  <c r="BA48" i="6"/>
  <c r="AZ48" i="6"/>
  <c r="AO48" i="6"/>
  <c r="AM48" i="6"/>
  <c r="AL48" i="6"/>
  <c r="S48" i="6"/>
  <c r="X48" i="6"/>
  <c r="U48" i="6"/>
  <c r="AB48" i="6"/>
  <c r="I48" i="6"/>
  <c r="BA47" i="6"/>
  <c r="AZ47" i="6"/>
  <c r="AO47" i="6"/>
  <c r="AM47" i="6"/>
  <c r="AL47" i="6"/>
  <c r="R47" i="6"/>
  <c r="S47" i="6"/>
  <c r="X47" i="6"/>
  <c r="U47" i="6"/>
  <c r="AB47" i="6"/>
  <c r="I47" i="6"/>
  <c r="BA46" i="6"/>
  <c r="AZ46" i="6"/>
  <c r="AO46" i="6"/>
  <c r="AM46" i="6"/>
  <c r="AL46" i="6"/>
  <c r="S46" i="6"/>
  <c r="X46" i="6"/>
  <c r="U46" i="6"/>
  <c r="AB46" i="6"/>
  <c r="I46" i="6"/>
  <c r="BA45" i="6"/>
  <c r="AZ45" i="6"/>
  <c r="AO45" i="6"/>
  <c r="AM45" i="6"/>
  <c r="AL45" i="6"/>
  <c r="S45" i="6"/>
  <c r="X45" i="6"/>
  <c r="U45" i="6"/>
  <c r="AB45" i="6"/>
  <c r="I45" i="6"/>
  <c r="BA44" i="6"/>
  <c r="AZ44" i="6"/>
  <c r="AO44" i="6"/>
  <c r="AM44" i="6"/>
  <c r="AL44" i="6"/>
  <c r="S44" i="6"/>
  <c r="X44" i="6"/>
  <c r="U44" i="6"/>
  <c r="I44" i="6"/>
  <c r="BA43" i="6"/>
  <c r="AZ43" i="6"/>
  <c r="AO43" i="6"/>
  <c r="AM43" i="6"/>
  <c r="AL43" i="6"/>
  <c r="S43" i="6"/>
  <c r="X43" i="6"/>
  <c r="U43" i="6"/>
  <c r="I43" i="6"/>
  <c r="BA42" i="6"/>
  <c r="AZ42" i="6"/>
  <c r="AO42" i="6"/>
  <c r="AM42" i="6"/>
  <c r="AL42" i="6"/>
  <c r="S42" i="6"/>
  <c r="X42" i="6"/>
  <c r="U42" i="6"/>
  <c r="I42" i="6"/>
  <c r="BA41" i="6"/>
  <c r="AZ41" i="6"/>
  <c r="AO41" i="6"/>
  <c r="AM41" i="6"/>
  <c r="AL41" i="6"/>
  <c r="S41" i="6"/>
  <c r="X41" i="6"/>
  <c r="U41" i="6"/>
  <c r="I41" i="6"/>
  <c r="BA40" i="6"/>
  <c r="AZ40" i="6"/>
  <c r="AO40" i="6"/>
  <c r="AM40" i="6"/>
  <c r="AL40" i="6"/>
  <c r="R40" i="6"/>
  <c r="S40" i="6"/>
  <c r="X40" i="6"/>
  <c r="U40" i="6"/>
  <c r="I40" i="6"/>
  <c r="BA39" i="6"/>
  <c r="AZ39" i="6"/>
  <c r="AO39" i="6"/>
  <c r="AM39" i="6"/>
  <c r="AL39" i="6"/>
  <c r="S39" i="6"/>
  <c r="X39" i="6"/>
  <c r="U39" i="6"/>
  <c r="AB39" i="6"/>
  <c r="I39" i="6"/>
  <c r="BA38" i="6"/>
  <c r="AZ38" i="6"/>
  <c r="AO38" i="6"/>
  <c r="AM38" i="6"/>
  <c r="AL38" i="6"/>
  <c r="S38" i="6"/>
  <c r="X38" i="6"/>
  <c r="U38" i="6"/>
  <c r="AB38" i="6"/>
  <c r="I38" i="6"/>
  <c r="BA58" i="6"/>
  <c r="AZ58" i="6"/>
  <c r="AO58" i="6"/>
  <c r="AM58" i="6"/>
  <c r="AL58" i="6"/>
  <c r="S58" i="6"/>
  <c r="X58" i="6"/>
  <c r="U58" i="6"/>
  <c r="AB58" i="6"/>
  <c r="I58" i="6"/>
  <c r="BA57" i="6"/>
  <c r="AZ57" i="6"/>
  <c r="AO57" i="6"/>
  <c r="AM57" i="6"/>
  <c r="AL57" i="6"/>
  <c r="S57" i="6"/>
  <c r="X57" i="6"/>
  <c r="U57" i="6"/>
  <c r="I57" i="6"/>
  <c r="BA56" i="6"/>
  <c r="AZ56" i="6"/>
  <c r="AO56" i="6"/>
  <c r="AM56" i="6"/>
  <c r="AL56" i="6"/>
  <c r="S56" i="6"/>
  <c r="X56" i="6"/>
  <c r="U56" i="6"/>
  <c r="I56" i="6"/>
  <c r="BA55" i="6"/>
  <c r="AZ55" i="6"/>
  <c r="AO55" i="6"/>
  <c r="AM55" i="6"/>
  <c r="AL55" i="6"/>
  <c r="S55" i="6"/>
  <c r="X55" i="6"/>
  <c r="U55" i="6"/>
  <c r="I55" i="6"/>
  <c r="BA54" i="6"/>
  <c r="AZ54" i="6"/>
  <c r="AO54" i="6"/>
  <c r="AM54" i="6"/>
  <c r="AL54" i="6"/>
  <c r="R54" i="6"/>
  <c r="S54" i="6"/>
  <c r="X54" i="6"/>
  <c r="U54" i="6"/>
  <c r="I54" i="6"/>
  <c r="BA53" i="6"/>
  <c r="AZ53" i="6"/>
  <c r="AO53" i="6"/>
  <c r="AM53" i="6"/>
  <c r="AL53" i="6"/>
  <c r="S53" i="6"/>
  <c r="X53" i="6"/>
  <c r="U53" i="6"/>
  <c r="I53" i="6"/>
  <c r="BA52" i="6"/>
  <c r="AZ52" i="6"/>
  <c r="AO52" i="6"/>
  <c r="AM52" i="6"/>
  <c r="AL52" i="6"/>
  <c r="S52" i="6"/>
  <c r="X52" i="6"/>
  <c r="U52" i="6"/>
  <c r="I52" i="6"/>
  <c r="BA65" i="6"/>
  <c r="AZ65" i="6"/>
  <c r="AO65" i="6"/>
  <c r="AM65" i="6"/>
  <c r="AL65" i="6"/>
  <c r="S65" i="6"/>
  <c r="X65" i="6"/>
  <c r="U65" i="6"/>
  <c r="AB65" i="6"/>
  <c r="I65" i="6"/>
  <c r="BA64" i="6"/>
  <c r="AZ64" i="6"/>
  <c r="AO64" i="6"/>
  <c r="AM64" i="6"/>
  <c r="AL64" i="6"/>
  <c r="S64" i="6"/>
  <c r="X64" i="6"/>
  <c r="U64" i="6"/>
  <c r="I64" i="6"/>
  <c r="BA63" i="6"/>
  <c r="AZ63" i="6"/>
  <c r="AO63" i="6"/>
  <c r="AM63" i="6"/>
  <c r="AL63" i="6"/>
  <c r="S63" i="6"/>
  <c r="X63" i="6"/>
  <c r="U63" i="6"/>
  <c r="I63" i="6"/>
  <c r="BA62" i="6"/>
  <c r="AZ62" i="6"/>
  <c r="AO62" i="6"/>
  <c r="AM62" i="6"/>
  <c r="AL62" i="6"/>
  <c r="S62" i="6"/>
  <c r="X62" i="6"/>
  <c r="U62" i="6"/>
  <c r="I62" i="6"/>
  <c r="BA61" i="6"/>
  <c r="AZ61" i="6"/>
  <c r="AO61" i="6"/>
  <c r="AM61" i="6"/>
  <c r="AL61" i="6"/>
  <c r="R61" i="6"/>
  <c r="S61" i="6"/>
  <c r="X61" i="6"/>
  <c r="U61" i="6"/>
  <c r="I61" i="6"/>
  <c r="BA60" i="6"/>
  <c r="AZ60" i="6"/>
  <c r="AO60" i="6"/>
  <c r="AM60" i="6"/>
  <c r="AL60" i="6"/>
  <c r="S60" i="6"/>
  <c r="X60" i="6"/>
  <c r="U60" i="6"/>
  <c r="AB60" i="6"/>
  <c r="I60" i="6"/>
  <c r="BA59" i="6"/>
  <c r="AZ59" i="6"/>
  <c r="AO59" i="6"/>
  <c r="AM59" i="6"/>
  <c r="AL59" i="6"/>
  <c r="S59" i="6"/>
  <c r="X59" i="6"/>
  <c r="U59" i="6"/>
  <c r="I59" i="6"/>
  <c r="I72" i="6"/>
  <c r="I71" i="6"/>
  <c r="I70" i="6"/>
  <c r="I69" i="6"/>
  <c r="I68" i="6"/>
  <c r="I67" i="6"/>
  <c r="I66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5" i="6"/>
  <c r="I3" i="6"/>
  <c r="I2" i="6"/>
  <c r="O67" i="2"/>
  <c r="I2" i="2"/>
  <c r="H27" i="2"/>
  <c r="L47" i="2"/>
  <c r="L44" i="2"/>
  <c r="L43" i="2"/>
  <c r="L32" i="2"/>
  <c r="L31" i="2"/>
  <c r="L28" i="2"/>
  <c r="L26" i="2"/>
  <c r="L2" i="2"/>
  <c r="O2" i="2"/>
  <c r="M2" i="2"/>
  <c r="N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N29" i="2"/>
  <c r="O29" i="2"/>
  <c r="N58" i="2"/>
  <c r="O58" i="2"/>
  <c r="N59" i="2"/>
  <c r="O59" i="2"/>
  <c r="N60" i="2"/>
  <c r="O60" i="2"/>
  <c r="N65" i="2"/>
  <c r="O65" i="2"/>
  <c r="N66" i="2"/>
  <c r="O66" i="2"/>
  <c r="N67" i="2"/>
  <c r="B228" i="1"/>
  <c r="A177" i="1"/>
  <c r="A176" i="1"/>
  <c r="A175" i="1"/>
  <c r="A174" i="1"/>
  <c r="A173" i="1"/>
  <c r="A172" i="1"/>
  <c r="A171" i="1"/>
  <c r="A170" i="1"/>
  <c r="A152" i="1"/>
  <c r="A158" i="1"/>
  <c r="A144" i="1"/>
  <c r="A139" i="1"/>
  <c r="A140" i="1"/>
  <c r="A143" i="1"/>
  <c r="A142" i="1"/>
  <c r="A141" i="1"/>
  <c r="A136" i="1"/>
  <c r="A130" i="1"/>
  <c r="A131" i="1"/>
  <c r="A123" i="1"/>
  <c r="A118" i="1"/>
  <c r="A119" i="1"/>
  <c r="A120" i="1"/>
  <c r="A125" i="1"/>
  <c r="A122" i="1"/>
  <c r="A124" i="1"/>
  <c r="A129" i="1"/>
  <c r="A128" i="1"/>
  <c r="A127" i="1"/>
  <c r="A126" i="1"/>
  <c r="A121" i="1"/>
  <c r="A117" i="1"/>
  <c r="A116" i="1"/>
  <c r="A113" i="1"/>
  <c r="A111" i="1"/>
  <c r="A110" i="1"/>
  <c r="A58" i="1" a="1"/>
  <c r="A58" i="1"/>
  <c r="A60" i="1" a="1"/>
  <c r="A60" i="1"/>
  <c r="A61" i="1" a="1"/>
  <c r="A61" i="1"/>
  <c r="A63" i="1" a="1"/>
  <c r="A63" i="1"/>
  <c r="A103" i="1"/>
  <c r="A101" i="1"/>
  <c r="A100" i="1"/>
  <c r="A102" i="1"/>
  <c r="A109" i="1"/>
  <c r="A107" i="1"/>
  <c r="A106" i="1"/>
  <c r="A105" i="1"/>
  <c r="A104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50" i="1"/>
  <c r="A49" i="1"/>
  <c r="A48" i="1"/>
  <c r="A47" i="1"/>
  <c r="A46" i="1"/>
  <c r="A45" i="1"/>
  <c r="A44" i="1"/>
  <c r="A43" i="1"/>
  <c r="A42" i="1"/>
  <c r="A17" i="1"/>
  <c r="A16" i="1"/>
  <c r="A15" i="1"/>
  <c r="A66" i="1"/>
  <c r="A114" i="1"/>
  <c r="A115" i="1"/>
  <c r="A112" i="1"/>
  <c r="A108" i="1"/>
  <c r="A188" i="1"/>
  <c r="A194" i="1"/>
  <c r="A160" i="1"/>
  <c r="A180" i="1"/>
  <c r="AM85" i="6"/>
  <c r="AM84" i="6"/>
  <c r="AM83" i="6"/>
  <c r="AM82" i="6"/>
  <c r="AM81" i="6"/>
  <c r="AM80" i="6"/>
  <c r="AM79" i="6"/>
  <c r="AM78" i="6"/>
  <c r="AM77" i="6"/>
  <c r="AM76" i="6"/>
  <c r="AM75" i="6"/>
  <c r="AM74" i="6"/>
  <c r="AL85" i="6"/>
  <c r="AL84" i="6"/>
  <c r="AL83" i="6"/>
  <c r="AL82" i="6"/>
  <c r="AL81" i="6"/>
  <c r="AL80" i="6"/>
  <c r="AL79" i="6"/>
  <c r="AL78" i="6"/>
  <c r="AL77" i="6"/>
  <c r="AL76" i="6"/>
  <c r="AL75" i="6"/>
  <c r="AL74" i="6"/>
  <c r="BA5" i="6"/>
  <c r="AZ5" i="6"/>
  <c r="BA4" i="6"/>
  <c r="AZ4" i="6"/>
  <c r="BA3" i="6"/>
  <c r="AZ3" i="6"/>
  <c r="BA2" i="6"/>
  <c r="AZ2" i="6"/>
  <c r="A65" i="1"/>
  <c r="A64" i="1"/>
  <c r="A57" i="1" a="1"/>
  <c r="A57" i="1"/>
  <c r="A41" i="1"/>
  <c r="A40" i="1"/>
  <c r="A39" i="1"/>
  <c r="A38" i="1"/>
  <c r="A37" i="1"/>
  <c r="R28" i="9"/>
  <c r="Q28" i="9"/>
  <c r="P28" i="9"/>
  <c r="O28" i="9"/>
  <c r="N28" i="9"/>
  <c r="M28" i="9"/>
  <c r="L28" i="9"/>
  <c r="K28" i="9"/>
  <c r="H28" i="9"/>
  <c r="F19" i="9"/>
  <c r="F18" i="9"/>
  <c r="F17" i="9"/>
  <c r="F26" i="9"/>
  <c r="F25" i="9"/>
  <c r="F24" i="9"/>
  <c r="F23" i="9"/>
  <c r="F22" i="9"/>
  <c r="F21" i="9"/>
  <c r="F20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27" i="9"/>
  <c r="BA31" i="6"/>
  <c r="AZ31" i="6"/>
  <c r="AO31" i="6"/>
  <c r="AM31" i="6"/>
  <c r="AL31" i="6"/>
  <c r="S31" i="6"/>
  <c r="X31" i="6"/>
  <c r="U31" i="6"/>
  <c r="AB31" i="6"/>
  <c r="R68" i="6"/>
  <c r="BA67" i="6"/>
  <c r="AZ67" i="6"/>
  <c r="AO67" i="6"/>
  <c r="AM67" i="6"/>
  <c r="AL67" i="6"/>
  <c r="S67" i="6"/>
  <c r="X67" i="6"/>
  <c r="U67" i="6"/>
  <c r="AB67" i="6"/>
  <c r="G67" i="2"/>
  <c r="G66" i="2"/>
  <c r="G65" i="2"/>
  <c r="G64" i="2"/>
  <c r="G63" i="2"/>
  <c r="G62" i="2"/>
  <c r="G61" i="2"/>
  <c r="G60" i="2"/>
  <c r="G59" i="2"/>
  <c r="G58" i="2"/>
  <c r="F65" i="2"/>
  <c r="F64" i="2"/>
  <c r="F63" i="2"/>
  <c r="F62" i="2"/>
  <c r="F61" i="2"/>
  <c r="F60" i="2"/>
  <c r="F59" i="2"/>
  <c r="F58" i="2"/>
  <c r="F37" i="2"/>
  <c r="F39" i="2"/>
  <c r="G32" i="2"/>
  <c r="G31" i="2"/>
  <c r="G29" i="2"/>
  <c r="F29" i="2"/>
  <c r="F31" i="2"/>
  <c r="F32" i="2"/>
  <c r="E30" i="2"/>
  <c r="F30" i="2"/>
  <c r="F73" i="2"/>
  <c r="F72" i="2"/>
  <c r="F71" i="2"/>
  <c r="F70" i="2"/>
  <c r="F69" i="2"/>
  <c r="F68" i="2"/>
  <c r="F57" i="2"/>
  <c r="F56" i="2"/>
  <c r="F55" i="2"/>
  <c r="F54" i="2"/>
  <c r="F53" i="2"/>
  <c r="F52" i="2"/>
  <c r="F50" i="2"/>
  <c r="F49" i="2"/>
  <c r="F48" i="2"/>
  <c r="F47" i="2"/>
  <c r="F46" i="2"/>
  <c r="F45" i="2"/>
  <c r="F44" i="2"/>
  <c r="F43" i="2"/>
  <c r="F42" i="2"/>
  <c r="F40" i="2"/>
  <c r="F22" i="2"/>
  <c r="F21" i="2"/>
  <c r="F20" i="2"/>
  <c r="F19" i="2"/>
  <c r="F18" i="2"/>
  <c r="F17" i="2"/>
  <c r="F16" i="2"/>
  <c r="F15" i="2"/>
  <c r="F14" i="2"/>
  <c r="F13" i="2"/>
  <c r="F12" i="2"/>
  <c r="F34" i="2"/>
  <c r="F33" i="2"/>
  <c r="F28" i="2"/>
  <c r="F26" i="2"/>
  <c r="F25" i="2"/>
  <c r="F24" i="2"/>
  <c r="F23" i="2"/>
  <c r="F11" i="2"/>
  <c r="F10" i="2"/>
  <c r="F9" i="2"/>
  <c r="F8" i="2"/>
  <c r="G73" i="2"/>
  <c r="G72" i="2"/>
  <c r="G71" i="2"/>
  <c r="G70" i="2"/>
  <c r="G69" i="2"/>
  <c r="G6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7" i="2"/>
  <c r="G36" i="2"/>
  <c r="G35" i="2"/>
  <c r="G22" i="2"/>
  <c r="G21" i="2"/>
  <c r="G20" i="2"/>
  <c r="G19" i="2"/>
  <c r="G18" i="2"/>
  <c r="G17" i="2"/>
  <c r="G16" i="2"/>
  <c r="G15" i="2"/>
  <c r="G14" i="2"/>
  <c r="G13" i="2"/>
  <c r="G12" i="2"/>
  <c r="G34" i="2"/>
  <c r="G33" i="2"/>
  <c r="G30" i="2"/>
  <c r="G28" i="2"/>
  <c r="G27" i="2"/>
  <c r="I27" i="2"/>
  <c r="G26" i="2"/>
  <c r="G25" i="2"/>
  <c r="G24" i="2"/>
  <c r="G23" i="2"/>
  <c r="G11" i="2"/>
  <c r="G10" i="2"/>
  <c r="G9" i="2"/>
  <c r="G8" i="2"/>
  <c r="W76" i="6"/>
  <c r="W75" i="6"/>
  <c r="W74" i="6"/>
  <c r="W78" i="6"/>
  <c r="W77" i="6"/>
  <c r="BA72" i="6"/>
  <c r="AZ72" i="6"/>
  <c r="BA71" i="6"/>
  <c r="AZ71" i="6"/>
  <c r="BA70" i="6"/>
  <c r="AZ70" i="6"/>
  <c r="BA69" i="6"/>
  <c r="AZ69" i="6"/>
  <c r="BA68" i="6"/>
  <c r="AZ68" i="6"/>
  <c r="BA66" i="6"/>
  <c r="AZ66" i="6"/>
  <c r="BA37" i="6"/>
  <c r="AZ37" i="6"/>
  <c r="BA36" i="6"/>
  <c r="AZ36" i="6"/>
  <c r="BA35" i="6"/>
  <c r="AZ35" i="6"/>
  <c r="BA34" i="6"/>
  <c r="AZ34" i="6"/>
  <c r="BA33" i="6"/>
  <c r="AZ33" i="6"/>
  <c r="BA32" i="6"/>
  <c r="AZ32" i="6"/>
  <c r="BA30" i="6"/>
  <c r="AZ30" i="6"/>
  <c r="BA29" i="6"/>
  <c r="AZ29" i="6"/>
  <c r="BA28" i="6"/>
  <c r="AZ28" i="6"/>
  <c r="BA27" i="6"/>
  <c r="AZ27" i="6"/>
  <c r="BA26" i="6"/>
  <c r="AZ26" i="6"/>
  <c r="BA25" i="6"/>
  <c r="AZ25" i="6"/>
  <c r="BA24" i="6"/>
  <c r="AZ24" i="6"/>
  <c r="BA23" i="6"/>
  <c r="AZ23" i="6"/>
  <c r="BA22" i="6"/>
  <c r="AZ22" i="6"/>
  <c r="BA21" i="6"/>
  <c r="AZ21" i="6"/>
  <c r="BA20" i="6"/>
  <c r="AZ20" i="6"/>
  <c r="BA19" i="6"/>
  <c r="AZ19" i="6"/>
  <c r="BA18" i="6"/>
  <c r="AZ18" i="6"/>
  <c r="BA17" i="6"/>
  <c r="AZ17" i="6"/>
  <c r="BA16" i="6"/>
  <c r="AZ16" i="6"/>
  <c r="BA14" i="6"/>
  <c r="AZ14" i="6"/>
  <c r="BA13" i="6"/>
  <c r="AZ13" i="6"/>
  <c r="BA12" i="6"/>
  <c r="AZ12" i="6"/>
  <c r="BA11" i="6"/>
  <c r="AZ11" i="6"/>
  <c r="BA10" i="6"/>
  <c r="AZ10" i="6"/>
  <c r="BA9" i="6"/>
  <c r="AZ9" i="6"/>
  <c r="AM72" i="6"/>
  <c r="AL72" i="6"/>
  <c r="AM71" i="6"/>
  <c r="AL71" i="6"/>
  <c r="AM70" i="6"/>
  <c r="AL70" i="6"/>
  <c r="AM69" i="6"/>
  <c r="AL69" i="6"/>
  <c r="AM68" i="6"/>
  <c r="AL68" i="6"/>
  <c r="AM66" i="6"/>
  <c r="AL66" i="6"/>
  <c r="AM37" i="6"/>
  <c r="AL37" i="6"/>
  <c r="AM36" i="6"/>
  <c r="AL36" i="6"/>
  <c r="AM35" i="6"/>
  <c r="AL35" i="6"/>
  <c r="AM34" i="6"/>
  <c r="AL34" i="6"/>
  <c r="AM33" i="6"/>
  <c r="AL33" i="6"/>
  <c r="AM32" i="6"/>
  <c r="AL32" i="6"/>
  <c r="AM30" i="6"/>
  <c r="AL30" i="6"/>
  <c r="AM29" i="6"/>
  <c r="AL29" i="6"/>
  <c r="AM28" i="6"/>
  <c r="AL28" i="6"/>
  <c r="AM27" i="6"/>
  <c r="AL27" i="6"/>
  <c r="AM26" i="6"/>
  <c r="AL26" i="6"/>
  <c r="AM25" i="6"/>
  <c r="AL25" i="6"/>
  <c r="AM24" i="6"/>
  <c r="AL24" i="6"/>
  <c r="AM23" i="6"/>
  <c r="AL23" i="6"/>
  <c r="AM22" i="6"/>
  <c r="AL22" i="6"/>
  <c r="AM21" i="6"/>
  <c r="AL21" i="6"/>
  <c r="AM20" i="6"/>
  <c r="AL20" i="6"/>
  <c r="AM19" i="6"/>
  <c r="AL19" i="6"/>
  <c r="AM18" i="6"/>
  <c r="AL18" i="6"/>
  <c r="AM17" i="6"/>
  <c r="AL17" i="6"/>
  <c r="AM16" i="6"/>
  <c r="AL16" i="6"/>
  <c r="AM14" i="6"/>
  <c r="AL14" i="6"/>
  <c r="AM13" i="6"/>
  <c r="AL13" i="6"/>
  <c r="AM12" i="6"/>
  <c r="AL12" i="6"/>
  <c r="AM11" i="6"/>
  <c r="AL11" i="6"/>
  <c r="AM10" i="6"/>
  <c r="AL10" i="6"/>
  <c r="AM9" i="6"/>
  <c r="AL9" i="6"/>
  <c r="AM5" i="6"/>
  <c r="AL5" i="6"/>
  <c r="AM4" i="6"/>
  <c r="AL4" i="6"/>
  <c r="AM3" i="6"/>
  <c r="AL3" i="6"/>
  <c r="AM2" i="6"/>
  <c r="AL2" i="6"/>
  <c r="AM15" i="6"/>
  <c r="AL15" i="6"/>
  <c r="AO3" i="6"/>
  <c r="AO4" i="6"/>
  <c r="AO5" i="6"/>
  <c r="AO9" i="6"/>
  <c r="AO10" i="6"/>
  <c r="AO11" i="6"/>
  <c r="AO12" i="6"/>
  <c r="AO13" i="6"/>
  <c r="AO14" i="6"/>
  <c r="AO15" i="6"/>
  <c r="AO16" i="6"/>
  <c r="AO17" i="6"/>
  <c r="AO18" i="6"/>
  <c r="AO19" i="6"/>
  <c r="AO20" i="6"/>
  <c r="AO21" i="6"/>
  <c r="AO22" i="6"/>
  <c r="AO23" i="6"/>
  <c r="AO24" i="6"/>
  <c r="AO25" i="6"/>
  <c r="AO26" i="6"/>
  <c r="AO27" i="6"/>
  <c r="AO28" i="6"/>
  <c r="AO29" i="6"/>
  <c r="AO30" i="6"/>
  <c r="AO32" i="6"/>
  <c r="AO33" i="6"/>
  <c r="AO34" i="6"/>
  <c r="AO35" i="6"/>
  <c r="AO36" i="6"/>
  <c r="AO37" i="6"/>
  <c r="AO66" i="6"/>
  <c r="AO68" i="6"/>
  <c r="AO69" i="6"/>
  <c r="AO70" i="6"/>
  <c r="AO71" i="6"/>
  <c r="AO72" i="6"/>
  <c r="AO2" i="6"/>
  <c r="W79" i="6"/>
  <c r="S72" i="6"/>
  <c r="X72" i="6"/>
  <c r="U72" i="6"/>
  <c r="AB72" i="6"/>
  <c r="S71" i="6"/>
  <c r="X71" i="6"/>
  <c r="U71" i="6"/>
  <c r="S70" i="6"/>
  <c r="X70" i="6"/>
  <c r="U70" i="6"/>
  <c r="S69" i="6"/>
  <c r="X69" i="6"/>
  <c r="U69" i="6"/>
  <c r="AB69" i="6"/>
  <c r="S68" i="6"/>
  <c r="X68" i="6"/>
  <c r="U68" i="6"/>
  <c r="AB68" i="6"/>
  <c r="S66" i="6"/>
  <c r="X66" i="6"/>
  <c r="U66" i="6"/>
  <c r="AB66" i="6"/>
  <c r="S37" i="6"/>
  <c r="X37" i="6"/>
  <c r="U37" i="6"/>
  <c r="AB37" i="6"/>
  <c r="S36" i="6"/>
  <c r="X36" i="6"/>
  <c r="U36" i="6"/>
  <c r="AB36" i="6"/>
  <c r="S35" i="6"/>
  <c r="X35" i="6"/>
  <c r="U35" i="6"/>
  <c r="AB35" i="6"/>
  <c r="S34" i="6"/>
  <c r="X34" i="6"/>
  <c r="U34" i="6"/>
  <c r="AB34" i="6"/>
  <c r="S33" i="6"/>
  <c r="X33" i="6"/>
  <c r="U33" i="6"/>
  <c r="AB33" i="6"/>
  <c r="S30" i="6"/>
  <c r="X30" i="6"/>
  <c r="U30" i="6"/>
  <c r="AB30" i="6"/>
  <c r="S29" i="6"/>
  <c r="X29" i="6"/>
  <c r="U29" i="6"/>
  <c r="AB29" i="6"/>
  <c r="S28" i="6"/>
  <c r="X28" i="6"/>
  <c r="U28" i="6"/>
  <c r="AB28" i="6"/>
  <c r="S27" i="6"/>
  <c r="X27" i="6"/>
  <c r="U27" i="6"/>
  <c r="AB27" i="6"/>
  <c r="S26" i="6"/>
  <c r="S25" i="6"/>
  <c r="X25" i="6"/>
  <c r="U25" i="6"/>
  <c r="AB25" i="6"/>
  <c r="S24" i="6"/>
  <c r="X24" i="6"/>
  <c r="U24" i="6"/>
  <c r="AB24" i="6"/>
  <c r="S23" i="6"/>
  <c r="X23" i="6"/>
  <c r="U23" i="6"/>
  <c r="S22" i="6"/>
  <c r="X22" i="6"/>
  <c r="U22" i="6"/>
  <c r="S21" i="6"/>
  <c r="X21" i="6"/>
  <c r="U21" i="6"/>
  <c r="AB21" i="6"/>
  <c r="S20" i="6"/>
  <c r="X20" i="6"/>
  <c r="U20" i="6"/>
  <c r="AB20" i="6"/>
  <c r="S19" i="6"/>
  <c r="X19" i="6"/>
  <c r="U19" i="6"/>
  <c r="AB19" i="6"/>
  <c r="S18" i="6"/>
  <c r="X18" i="6"/>
  <c r="U18" i="6"/>
  <c r="AB18" i="6"/>
  <c r="S17" i="6"/>
  <c r="X17" i="6"/>
  <c r="U17" i="6"/>
  <c r="AB17" i="6"/>
  <c r="S16" i="6"/>
  <c r="X16" i="6"/>
  <c r="U16" i="6"/>
  <c r="AB16" i="6"/>
  <c r="S15" i="6"/>
  <c r="X15" i="6"/>
  <c r="U15" i="6"/>
  <c r="AB15" i="6"/>
  <c r="S14" i="6"/>
  <c r="X14" i="6"/>
  <c r="U14" i="6"/>
  <c r="AB14" i="6"/>
  <c r="S13" i="6"/>
  <c r="X13" i="6"/>
  <c r="U13" i="6"/>
  <c r="AB13" i="6"/>
  <c r="S12" i="6"/>
  <c r="X12" i="6"/>
  <c r="U12" i="6"/>
  <c r="S11" i="6"/>
  <c r="X11" i="6"/>
  <c r="U11" i="6"/>
  <c r="S10" i="6"/>
  <c r="X10" i="6"/>
  <c r="U10" i="6"/>
  <c r="S9" i="6"/>
  <c r="S5" i="6"/>
  <c r="X5" i="6"/>
  <c r="U5" i="6"/>
  <c r="AB5" i="6"/>
  <c r="S4" i="6"/>
  <c r="X4" i="6"/>
  <c r="U4" i="6"/>
  <c r="AB4" i="6"/>
  <c r="S3" i="6"/>
  <c r="X3" i="6"/>
  <c r="U3" i="6"/>
  <c r="AB3" i="6"/>
  <c r="S2" i="6"/>
  <c r="X2" i="6"/>
  <c r="U2" i="6"/>
  <c r="AB2" i="6"/>
  <c r="E9" i="12"/>
  <c r="E10" i="12"/>
  <c r="E11" i="12"/>
  <c r="E12" i="12"/>
  <c r="E13" i="12"/>
  <c r="E14" i="12"/>
  <c r="E15" i="12"/>
  <c r="E16" i="12"/>
  <c r="E17" i="12"/>
  <c r="E18" i="12"/>
  <c r="E19" i="12"/>
  <c r="C10" i="12"/>
  <c r="C11" i="12"/>
  <c r="C12" i="12"/>
  <c r="C13" i="12"/>
  <c r="C14" i="12"/>
  <c r="C15" i="12"/>
  <c r="C16" i="12"/>
  <c r="C17" i="12"/>
  <c r="C18" i="12"/>
  <c r="C19" i="12"/>
  <c r="C9" i="12"/>
  <c r="W13" i="8"/>
  <c r="W25" i="8"/>
  <c r="W7" i="8"/>
  <c r="W17" i="8"/>
  <c r="W19" i="8"/>
  <c r="W12" i="8"/>
  <c r="W24" i="8"/>
  <c r="W15" i="8"/>
  <c r="W16" i="8"/>
  <c r="W18" i="8"/>
  <c r="W6" i="8"/>
  <c r="W8" i="8"/>
  <c r="W20" i="8"/>
  <c r="W9" i="8"/>
  <c r="W21" i="8"/>
  <c r="W10" i="8"/>
  <c r="W22" i="8"/>
  <c r="W11" i="8"/>
  <c r="W23" i="8"/>
  <c r="W14" i="8"/>
  <c r="W26" i="8"/>
  <c r="T35" i="8"/>
  <c r="L31" i="8"/>
  <c r="L32" i="8"/>
  <c r="L33" i="8"/>
  <c r="L34" i="8"/>
  <c r="AP8" i="6"/>
  <c r="AB8" i="6"/>
  <c r="AP6" i="6"/>
  <c r="AP7" i="6"/>
  <c r="AB7" i="6"/>
  <c r="AP45" i="6"/>
  <c r="AP52" i="6"/>
  <c r="AP50" i="6"/>
  <c r="AP65" i="6"/>
  <c r="AP48" i="6"/>
  <c r="AP47" i="6"/>
  <c r="AP49" i="6"/>
  <c r="AP46" i="6"/>
  <c r="AP51" i="6"/>
  <c r="AP53" i="6"/>
  <c r="AP39" i="6"/>
  <c r="AP38" i="6"/>
  <c r="AP42" i="6"/>
  <c r="AB42" i="6"/>
  <c r="AP41" i="6"/>
  <c r="AB41" i="6"/>
  <c r="AP44" i="6"/>
  <c r="AB44" i="6"/>
  <c r="AP43" i="6"/>
  <c r="AB43" i="6"/>
  <c r="AP40" i="6"/>
  <c r="AB40" i="6"/>
  <c r="AP54" i="6"/>
  <c r="AB54" i="6"/>
  <c r="AP56" i="6"/>
  <c r="AB56" i="6"/>
  <c r="AP55" i="6"/>
  <c r="AB55" i="6"/>
  <c r="AP58" i="6"/>
  <c r="AP57" i="6"/>
  <c r="AB57" i="6"/>
  <c r="AB52" i="6"/>
  <c r="AB53" i="6"/>
  <c r="AP60" i="6"/>
  <c r="AP63" i="6"/>
  <c r="AB63" i="6"/>
  <c r="AP62" i="6"/>
  <c r="AB62" i="6"/>
  <c r="AP59" i="6"/>
  <c r="AB59" i="6"/>
  <c r="AP61" i="6"/>
  <c r="AB61" i="6"/>
  <c r="AP64" i="6"/>
  <c r="AB64" i="6"/>
  <c r="N40" i="2"/>
  <c r="O40" i="2"/>
  <c r="H14" i="2"/>
  <c r="I14" i="2"/>
  <c r="H15" i="2"/>
  <c r="I15" i="2"/>
  <c r="H26" i="2"/>
  <c r="I26" i="2"/>
  <c r="H38" i="2"/>
  <c r="I38" i="2"/>
  <c r="H39" i="2"/>
  <c r="I39" i="2"/>
  <c r="H50" i="2"/>
  <c r="I50" i="2"/>
  <c r="H51" i="2"/>
  <c r="I51" i="2"/>
  <c r="H62" i="2"/>
  <c r="I62" i="2"/>
  <c r="H63" i="2"/>
  <c r="I63" i="2"/>
  <c r="H16" i="2"/>
  <c r="I16" i="2"/>
  <c r="H28" i="2"/>
  <c r="I28" i="2"/>
  <c r="H40" i="2"/>
  <c r="I40" i="2"/>
  <c r="H52" i="2"/>
  <c r="I52" i="2"/>
  <c r="H64" i="2"/>
  <c r="I64" i="2"/>
  <c r="H17" i="2"/>
  <c r="I17" i="2"/>
  <c r="H29" i="2"/>
  <c r="I29" i="2"/>
  <c r="H41" i="2"/>
  <c r="I41" i="2"/>
  <c r="H53" i="2"/>
  <c r="I53" i="2"/>
  <c r="H65" i="2"/>
  <c r="I65" i="2"/>
  <c r="H18" i="2"/>
  <c r="I18" i="2"/>
  <c r="H30" i="2"/>
  <c r="I30" i="2"/>
  <c r="H42" i="2"/>
  <c r="I42" i="2"/>
  <c r="H54" i="2"/>
  <c r="I54" i="2"/>
  <c r="H66" i="2"/>
  <c r="I66" i="2"/>
  <c r="H19" i="2"/>
  <c r="I19" i="2"/>
  <c r="H31" i="2"/>
  <c r="I31" i="2"/>
  <c r="H43" i="2"/>
  <c r="I43" i="2"/>
  <c r="H55" i="2"/>
  <c r="I55" i="2"/>
  <c r="H67" i="2"/>
  <c r="I67" i="2"/>
  <c r="H8" i="2"/>
  <c r="I8" i="2"/>
  <c r="H20" i="2"/>
  <c r="I20" i="2"/>
  <c r="H32" i="2"/>
  <c r="I32" i="2"/>
  <c r="H44" i="2"/>
  <c r="I44" i="2"/>
  <c r="H56" i="2"/>
  <c r="I56" i="2"/>
  <c r="H68" i="2"/>
  <c r="I68" i="2"/>
  <c r="H9" i="2"/>
  <c r="I9" i="2"/>
  <c r="H21" i="2"/>
  <c r="I21" i="2"/>
  <c r="H33" i="2"/>
  <c r="I33" i="2"/>
  <c r="H45" i="2"/>
  <c r="I45" i="2"/>
  <c r="H57" i="2"/>
  <c r="I57" i="2"/>
  <c r="H69" i="2"/>
  <c r="I69" i="2"/>
  <c r="H10" i="2"/>
  <c r="I10" i="2"/>
  <c r="H22" i="2"/>
  <c r="I22" i="2"/>
  <c r="H34" i="2"/>
  <c r="I34" i="2"/>
  <c r="H46" i="2"/>
  <c r="I46" i="2"/>
  <c r="H58" i="2"/>
  <c r="I58" i="2"/>
  <c r="H70" i="2"/>
  <c r="I70" i="2"/>
  <c r="H11" i="2"/>
  <c r="I11" i="2"/>
  <c r="H23" i="2"/>
  <c r="I23" i="2"/>
  <c r="N32" i="6"/>
  <c r="S32" i="6"/>
  <c r="X32" i="6"/>
  <c r="U32" i="6"/>
  <c r="AB32" i="6"/>
  <c r="H35" i="2"/>
  <c r="I35" i="2"/>
  <c r="H47" i="2"/>
  <c r="I47" i="2"/>
  <c r="H59" i="2"/>
  <c r="I59" i="2"/>
  <c r="H71" i="2"/>
  <c r="I71" i="2"/>
  <c r="H12" i="2"/>
  <c r="I12" i="2"/>
  <c r="H24" i="2"/>
  <c r="I24" i="2"/>
  <c r="H36" i="2"/>
  <c r="I36" i="2"/>
  <c r="H48" i="2"/>
  <c r="I48" i="2"/>
  <c r="H60" i="2"/>
  <c r="I60" i="2"/>
  <c r="H72" i="2"/>
  <c r="I72" i="2"/>
  <c r="H13" i="2"/>
  <c r="I13" i="2"/>
  <c r="H25" i="2"/>
  <c r="I25" i="2"/>
  <c r="H37" i="2"/>
  <c r="I37" i="2"/>
  <c r="H49" i="2"/>
  <c r="I49" i="2"/>
  <c r="H61" i="2"/>
  <c r="I61" i="2"/>
  <c r="H73" i="2"/>
  <c r="I73" i="2"/>
  <c r="M47" i="2"/>
  <c r="M32" i="2"/>
  <c r="N32" i="2"/>
  <c r="M28" i="2"/>
  <c r="M43" i="2"/>
  <c r="N43" i="2"/>
  <c r="M44" i="2"/>
  <c r="N44" i="2"/>
  <c r="M31" i="2"/>
  <c r="N31" i="2"/>
  <c r="M26" i="2"/>
  <c r="N26" i="2"/>
  <c r="A135" i="1"/>
  <c r="A151" i="1"/>
  <c r="A149" i="1"/>
  <c r="A137" i="1"/>
  <c r="A138" i="1"/>
  <c r="A145" i="1"/>
  <c r="A146" i="1"/>
  <c r="A147" i="1"/>
  <c r="A148" i="1"/>
  <c r="A150" i="1"/>
  <c r="A153" i="1"/>
  <c r="A133" i="1"/>
  <c r="A134" i="1"/>
  <c r="A132" i="1"/>
  <c r="A159" i="1"/>
  <c r="A154" i="1"/>
  <c r="A155" i="1"/>
  <c r="A156" i="1"/>
  <c r="A157" i="1"/>
  <c r="A184" i="1"/>
  <c r="A185" i="1"/>
  <c r="A181" i="1"/>
  <c r="A182" i="1"/>
  <c r="A183" i="1"/>
  <c r="A186" i="1"/>
  <c r="A187" i="1"/>
  <c r="A169" i="1"/>
  <c r="A192" i="1"/>
  <c r="A193" i="1"/>
  <c r="A195" i="1"/>
  <c r="A190" i="1"/>
  <c r="A189" i="1"/>
  <c r="A191" i="1"/>
  <c r="A179" i="1"/>
  <c r="A161" i="1"/>
  <c r="A162" i="1"/>
  <c r="A163" i="1"/>
  <c r="A164" i="1"/>
  <c r="A165" i="1"/>
  <c r="A166" i="1"/>
  <c r="A167" i="1"/>
  <c r="A168" i="1"/>
  <c r="A178" i="1"/>
  <c r="AP31" i="6"/>
  <c r="S76" i="6"/>
  <c r="AP67" i="6"/>
  <c r="S78" i="6"/>
  <c r="U78" i="6"/>
  <c r="X78" i="6"/>
  <c r="X75" i="6"/>
  <c r="U75" i="6"/>
  <c r="S74" i="6"/>
  <c r="S75" i="6"/>
  <c r="AP10" i="6"/>
  <c r="AP11" i="6"/>
  <c r="AP70" i="6"/>
  <c r="AP24" i="6"/>
  <c r="AP34" i="6"/>
  <c r="AP21" i="6"/>
  <c r="AP28" i="6"/>
  <c r="AP71" i="6"/>
  <c r="AB71" i="6"/>
  <c r="AP22" i="6"/>
  <c r="AB22" i="6"/>
  <c r="AP72" i="6"/>
  <c r="AP23" i="6"/>
  <c r="AB23" i="6"/>
  <c r="AP12" i="6"/>
  <c r="AB12" i="6"/>
  <c r="AP69" i="6"/>
  <c r="AP27" i="6"/>
  <c r="AP16" i="6"/>
  <c r="AP25" i="6"/>
  <c r="AP15" i="6"/>
  <c r="AP14" i="6"/>
  <c r="AP13" i="6"/>
  <c r="AB11" i="6"/>
  <c r="AP32" i="6"/>
  <c r="AP33" i="6"/>
  <c r="AP35" i="6"/>
  <c r="AP17" i="6"/>
  <c r="AP29" i="6"/>
  <c r="AP36" i="6"/>
  <c r="AP18" i="6"/>
  <c r="AP37" i="6"/>
  <c r="AP19" i="6"/>
  <c r="AP66" i="6"/>
  <c r="AP30" i="6"/>
  <c r="AP20" i="6"/>
  <c r="AP68" i="6"/>
  <c r="AB10" i="6"/>
  <c r="AB70" i="6"/>
  <c r="AP3" i="6"/>
  <c r="AP2" i="6"/>
  <c r="AP4" i="6"/>
  <c r="AP5" i="6"/>
  <c r="X9" i="6"/>
  <c r="X74" i="6"/>
  <c r="S79" i="6"/>
  <c r="X26" i="6"/>
  <c r="X76" i="6"/>
  <c r="O44" i="2"/>
  <c r="O43" i="2"/>
  <c r="N28" i="2"/>
  <c r="O28" i="2"/>
  <c r="O31" i="2"/>
  <c r="O32" i="2"/>
  <c r="N47" i="2"/>
  <c r="O47" i="2"/>
  <c r="O26" i="2"/>
  <c r="L23" i="8"/>
  <c r="L19" i="8"/>
  <c r="L6" i="8"/>
  <c r="L5" i="8"/>
  <c r="L18" i="8"/>
  <c r="L11" i="8"/>
  <c r="L4" i="8"/>
  <c r="L20" i="8"/>
  <c r="L7" i="8"/>
  <c r="L17" i="8"/>
  <c r="L24" i="8"/>
  <c r="L22" i="8"/>
  <c r="L30" i="8"/>
  <c r="L10" i="8"/>
  <c r="L16" i="8"/>
  <c r="L9" i="8"/>
  <c r="L8" i="8"/>
  <c r="L26" i="8"/>
  <c r="L21" i="8"/>
  <c r="L15" i="8"/>
  <c r="L14" i="8"/>
  <c r="L27" i="8"/>
  <c r="L29" i="8"/>
  <c r="L28" i="8"/>
  <c r="L13" i="8"/>
  <c r="L25" i="8"/>
  <c r="L12" i="8"/>
  <c r="N38" i="2"/>
  <c r="O38" i="2"/>
  <c r="N37" i="2"/>
  <c r="O37" i="2"/>
  <c r="N39" i="2"/>
  <c r="O39" i="2"/>
  <c r="S77" i="6"/>
  <c r="X79" i="6"/>
  <c r="X77" i="6"/>
  <c r="U26" i="6"/>
  <c r="U76" i="6"/>
  <c r="U9" i="6"/>
  <c r="U74" i="6"/>
  <c r="L3" i="8"/>
  <c r="AP26" i="6"/>
  <c r="U77" i="6"/>
  <c r="AB26" i="6"/>
  <c r="U79" i="6"/>
  <c r="AB9" i="6"/>
  <c r="AP9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<sst xmlns="http://schemas.openxmlformats.org/spreadsheetml/2006/main" count="2164" uniqueCount="841">
  <si>
    <t>Table</t>
  </si>
  <si>
    <t>Data Description</t>
  </si>
  <si>
    <t>Individual Record Template</t>
  </si>
  <si>
    <t>Database / List</t>
  </si>
  <si>
    <t>Holds/Alerts</t>
  </si>
  <si>
    <t>Past</t>
  </si>
  <si>
    <t>Clariti</t>
  </si>
  <si>
    <t>Future</t>
  </si>
  <si>
    <t>Contacts</t>
  </si>
  <si>
    <t>Name, email, phone, snail mail, licenses, roles, uniqueID, etc.</t>
  </si>
  <si>
    <t>Y</t>
  </si>
  <si>
    <t>Parcels</t>
  </si>
  <si>
    <t>APN, land use, flood zone, WUI, soils, school district, fire district, uniqueID, etc.</t>
  </si>
  <si>
    <t>Addresses</t>
  </si>
  <si>
    <t>Status, number, street, unit, city, state, ZIP, lat/long, GIS link, uniqueID, etc.</t>
  </si>
  <si>
    <t>CE Cases</t>
  </si>
  <si>
    <t>All case information</t>
  </si>
  <si>
    <t>Reviews</t>
  </si>
  <si>
    <t>Review type, dates, status, etc.</t>
  </si>
  <si>
    <t>Inspections</t>
  </si>
  <si>
    <t>Inspection type, dates, status, etc.</t>
  </si>
  <si>
    <t>Permits</t>
  </si>
  <si>
    <t>The remaining records are all Permit Types and include references to related contacts, parcels, addresses, code cases, reviews, inspections, and other permits.</t>
  </si>
  <si>
    <t>Accessory</t>
  </si>
  <si>
    <t>Unoccupied structures such as private garages, barns, sheds, decks, patio covers, fences, retaining walls, fences, signs, etc.</t>
  </si>
  <si>
    <t>Commercial</t>
  </si>
  <si>
    <t>Occupied nonresidential structures including new construction, additions, and alterations</t>
  </si>
  <si>
    <t>Demolition</t>
  </si>
  <si>
    <t>Demolition of structures, including accessory, residential, commercial, pools, partials, etc.</t>
  </si>
  <si>
    <t>Dwellings</t>
  </si>
  <si>
    <t>Habitable residential buildings, inlcuding new construction, additions, and alterations</t>
  </si>
  <si>
    <t>Electrical</t>
  </si>
  <si>
    <t>All electrical permits including general lighting and receptacles, appliances, equipment, motors, solar photovoltaics, battery energy storage systems, electric vehicle charging stations, etc.</t>
  </si>
  <si>
    <t>Fire</t>
  </si>
  <si>
    <t>Fire access, fire alarms, fire sprinklers, fire-fighting water supply, hazardous materials, operational permits, temporary membrane structures, etc.</t>
  </si>
  <si>
    <t>Flood</t>
  </si>
  <si>
    <t>New construction, non-substantial improvements, substantial improvements/substantial damage, and other development.</t>
  </si>
  <si>
    <t>Grading</t>
  </si>
  <si>
    <t>All grading permits</t>
  </si>
  <si>
    <t>Mechanical</t>
  </si>
  <si>
    <t>HVAC and other mechanical appliances, ducts, vents, etc.</t>
  </si>
  <si>
    <t>Plumbing</t>
  </si>
  <si>
    <t>Water supply, wastewater drain/waste/vent, etc.</t>
  </si>
  <si>
    <t>Pool/Spa</t>
  </si>
  <si>
    <t>Private pools, public pools, spas, and hot tubs. See "Demolition" for pool demolition.</t>
  </si>
  <si>
    <t>Template</t>
  </si>
  <si>
    <t>Template Type</t>
  </si>
  <si>
    <t>Template Description</t>
  </si>
  <si>
    <t>Prerequisites</t>
  </si>
  <si>
    <t>Holds</t>
  </si>
  <si>
    <t>Online</t>
  </si>
  <si>
    <t>OTC</t>
  </si>
  <si>
    <t>New Contact Request</t>
  </si>
  <si>
    <t>Input by customer</t>
  </si>
  <si>
    <t>Include roles and a method to request connection to several records of all types</t>
  </si>
  <si>
    <t>None</t>
  </si>
  <si>
    <t>New Contact</t>
  </si>
  <si>
    <t>Input by staff, or
Approval by staff</t>
  </si>
  <si>
    <t>Direct entry of data by authorized staff</t>
  </si>
  <si>
    <t>Contact Report</t>
  </si>
  <si>
    <t>Output for customer and staff</t>
  </si>
  <si>
    <t>Provide the current contact information and a method to update the data</t>
  </si>
  <si>
    <t>Contact Created</t>
  </si>
  <si>
    <t>Authorized Requestor</t>
  </si>
  <si>
    <t>Fee Invoice</t>
  </si>
  <si>
    <t>Output for customer</t>
  </si>
  <si>
    <t>Standard invoice</t>
  </si>
  <si>
    <t>Permit Application, and
Ready to Pay</t>
  </si>
  <si>
    <t>Payment Form</t>
  </si>
  <si>
    <t>Standard fee invoice</t>
  </si>
  <si>
    <t>Receipt</t>
  </si>
  <si>
    <t>Standard receipt</t>
  </si>
  <si>
    <t>Payment</t>
  </si>
  <si>
    <t>Payment Report(s)</t>
  </si>
  <si>
    <t>Output for staff</t>
  </si>
  <si>
    <t>Standard fiscal report(s)</t>
  </si>
  <si>
    <t>Request Pre-Application Meeting</t>
  </si>
  <si>
    <t>Input by customer and/or staff</t>
  </si>
  <si>
    <t>To apply for a new permit</t>
  </si>
  <si>
    <t>Application</t>
  </si>
  <si>
    <t>Request an Address</t>
  </si>
  <si>
    <t>Request a Plan Review Extension</t>
  </si>
  <si>
    <t>Consultant Assignment</t>
  </si>
  <si>
    <t>Output to users without a yolocounty.org login</t>
  </si>
  <si>
    <t>To assign all tasks such as reviews and inspections</t>
  </si>
  <si>
    <t>Valid task creation</t>
  </si>
  <si>
    <t>Consultant Response</t>
  </si>
  <si>
    <t>Input by users without a yolocounty.org login</t>
  </si>
  <si>
    <t>To complete all tasks such as reviews and inspections</t>
  </si>
  <si>
    <t>Consultant assignment</t>
  </si>
  <si>
    <t>Issue Permit</t>
  </si>
  <si>
    <t>Application Approved</t>
  </si>
  <si>
    <t>Inspection</t>
  </si>
  <si>
    <t>Permit Extension</t>
  </si>
  <si>
    <t>Request Temporary Certificate of Occupancy</t>
  </si>
  <si>
    <t>Request Final Certificate of Occupancy</t>
  </si>
  <si>
    <t>Services</t>
  </si>
  <si>
    <t>To respond to all service requests including a pre-application meeting, an address, plan review extension, inspection, permit extension, certificate of occupancy, etc.</t>
  </si>
  <si>
    <t>Varies: Service Request or none</t>
  </si>
  <si>
    <t>Category</t>
  </si>
  <si>
    <t>Status</t>
  </si>
  <si>
    <t>Description</t>
  </si>
  <si>
    <t>Permit Status</t>
  </si>
  <si>
    <t>Application Pending</t>
  </si>
  <si>
    <t>The application has not been deemed a complete submittal</t>
  </si>
  <si>
    <t>Application Under Review</t>
  </si>
  <si>
    <t>The application is complete but reviews have not been approved</t>
  </si>
  <si>
    <t>The reviews have been approved but the permit has not been issued</t>
  </si>
  <si>
    <t>Permit Issued</t>
  </si>
  <si>
    <t>The permit has been issued but occupancy has not been approved</t>
  </si>
  <si>
    <t>Permit Finaled</t>
  </si>
  <si>
    <t>A certificate of occupancy has been issued and/or final inspection approved.</t>
  </si>
  <si>
    <t>Application Withdrawn</t>
  </si>
  <si>
    <t>The applicant has requested review to be halted and requested a refund of any unused fees.</t>
  </si>
  <si>
    <t>Application Abandoned</t>
  </si>
  <si>
    <t>The permit the application requested was not issued in time. A new application based on updated codes must be submitted. Delays caused by County staff will not be counted against the application time limit.</t>
  </si>
  <si>
    <t>Permit Cancelled</t>
  </si>
  <si>
    <t>The permit holder has requested cancellation of the permit and requested a refund of any unused fees.</t>
  </si>
  <si>
    <t>Permit Expired</t>
  </si>
  <si>
    <t>Construction was not completed in time. A new permit  application based on updated codes must be submitted. Any work completed before expiration is "Existing" as defined in the California Existing Building Code.</t>
  </si>
  <si>
    <t>Permit Suspended</t>
  </si>
  <si>
    <t xml:space="preserve">The Building Official has determined that the permit is no longer approved. The permit is suspended until the permit can approved. If a suspended permit  expires, a new permit application based on current codes must be submitted. </t>
  </si>
  <si>
    <t>Void</t>
  </si>
  <si>
    <t>The application or permit was a test or mistake</t>
  </si>
  <si>
    <t>Review Status</t>
  </si>
  <si>
    <t>Pending</t>
  </si>
  <si>
    <t>The permit application is incomplete and plan review has not started.</t>
  </si>
  <si>
    <t>Initial Review</t>
  </si>
  <si>
    <t>The main detailed review is in progress.</t>
  </si>
  <si>
    <t>Not Applicable</t>
  </si>
  <si>
    <t>Based on the scope of work, this review is not required.</t>
  </si>
  <si>
    <t>Approved</t>
  </si>
  <si>
    <t xml:space="preserve">Based on the submitted application and construction documents, the permit is approved by [Division] to be issued. </t>
  </si>
  <si>
    <t>Comments 1</t>
  </si>
  <si>
    <t>The application and construction documents cannot be approved as submitted. Comments have been added to the permit records and will be sent to the applicant once all comments are received.</t>
  </si>
  <si>
    <t>Response 1</t>
  </si>
  <si>
    <t>The applicant has submitted updates to the application and/or construction documents in response to the reviewers comments.</t>
  </si>
  <si>
    <t>Comments 2</t>
  </si>
  <si>
    <t>Response 2</t>
  </si>
  <si>
    <t>Comments 3</t>
  </si>
  <si>
    <t>Response 3</t>
  </si>
  <si>
    <t>etc.</t>
  </si>
  <si>
    <t>Inspection Status</t>
  </si>
  <si>
    <t>Not Issued</t>
  </si>
  <si>
    <t>The permit status is not "Permit Issued" so inspections cannot be requested.</t>
  </si>
  <si>
    <t>The permit has been issued, but this inspection has not been requested by the permit holder.</t>
  </si>
  <si>
    <t>Requested</t>
  </si>
  <si>
    <t>The permit holder has requested this inspection.</t>
  </si>
  <si>
    <t xml:space="preserve">Partial Requested </t>
  </si>
  <si>
    <t>The permit holder has requested a partial inspection on a large project.</t>
  </si>
  <si>
    <t>Scheduled</t>
  </si>
  <si>
    <t>The inspector has scheduled the requested inspection.</t>
  </si>
  <si>
    <t>Based on the scope of work, this inspection is not required.</t>
  </si>
  <si>
    <t>The inspection has been approved.</t>
  </si>
  <si>
    <t>Partial Approved</t>
  </si>
  <si>
    <t>The partial inspection was approved.</t>
  </si>
  <si>
    <t>Punch List</t>
  </si>
  <si>
    <t>Construction was allowed to proceed, but the inspector gave the permit holder a list of items that will need to be reinspected at the next inspection.</t>
  </si>
  <si>
    <t>Not Approved</t>
  </si>
  <si>
    <t>The inspection was not approved.</t>
  </si>
  <si>
    <t>Red Tag</t>
  </si>
  <si>
    <t>A serious code violation was found. All construction activity must cease except for the specific actions requested by the inspector.</t>
  </si>
  <si>
    <t>Not Ready</t>
  </si>
  <si>
    <t>The inspector was not able to perform the inspection because the work was not complete or because access to the work was not adequate.</t>
  </si>
  <si>
    <t>Group</t>
  </si>
  <si>
    <t>First Name</t>
  </si>
  <si>
    <t>MI</t>
  </si>
  <si>
    <t>Last Name</t>
  </si>
  <si>
    <t>Nick Name</t>
  </si>
  <si>
    <t>Email</t>
  </si>
  <si>
    <t>Read Only</t>
  </si>
  <si>
    <t>Rvw</t>
  </si>
  <si>
    <t>Insp</t>
  </si>
  <si>
    <t>Admin</t>
  </si>
  <si>
    <t>Fisc</t>
  </si>
  <si>
    <t>Bldg</t>
  </si>
  <si>
    <t>EH</t>
  </si>
  <si>
    <t>IWM</t>
  </si>
  <si>
    <t>Plng</t>
  </si>
  <si>
    <t>PW</t>
  </si>
  <si>
    <t>Air Quality</t>
  </si>
  <si>
    <t>Air</t>
  </si>
  <si>
    <t>Quality</t>
  </si>
  <si>
    <t>AIR</t>
  </si>
  <si>
    <t>Notify@ysaqmd.org</t>
  </si>
  <si>
    <t>Assessor</t>
  </si>
  <si>
    <t>Josephine</t>
  </si>
  <si>
    <t>Acevedo</t>
  </si>
  <si>
    <t>Josephine.Acevedo@yolocounty.org</t>
  </si>
  <si>
    <t>Building</t>
  </si>
  <si>
    <t>Angelina</t>
  </si>
  <si>
    <t>Espinoza</t>
  </si>
  <si>
    <t>Angelina.Espinoza@YoloCounty.org</t>
  </si>
  <si>
    <t>Angelica</t>
  </si>
  <si>
    <t>Yepez</t>
  </si>
  <si>
    <t>Angelica.Yepez@YoloCounty.org</t>
  </si>
  <si>
    <t>Division</t>
  </si>
  <si>
    <t>building.division@yolocounty.org</t>
  </si>
  <si>
    <t>Chris</t>
  </si>
  <si>
    <t>Rice</t>
  </si>
  <si>
    <t>Chris.Rice@YoloCounty.org</t>
  </si>
  <si>
    <t>Dawne</t>
  </si>
  <si>
    <t>Koranda</t>
  </si>
  <si>
    <t>Dawne.Koranda@YoloCounty.org</t>
  </si>
  <si>
    <t>Marlin</t>
  </si>
  <si>
    <t>A</t>
  </si>
  <si>
    <t>Nardiello</t>
  </si>
  <si>
    <t>Marlin.Nardiello@YoloCounty.org</t>
  </si>
  <si>
    <t>Scott</t>
  </si>
  <si>
    <t>P</t>
  </si>
  <si>
    <t>Doolittle</t>
  </si>
  <si>
    <t>Scott.Doolittle@yolocounty.org</t>
  </si>
  <si>
    <t>Environmental Health</t>
  </si>
  <si>
    <t>Cassandra</t>
  </si>
  <si>
    <t>Mendoza</t>
  </si>
  <si>
    <t>Cassandra.Mendoza@YoloCounty.org</t>
  </si>
  <si>
    <t>Deborah</t>
  </si>
  <si>
    <t>Anderson</t>
  </si>
  <si>
    <t>Deborah.Anderson@YoloCounty.org</t>
  </si>
  <si>
    <t>Jianmin</t>
  </si>
  <si>
    <t>Huang</t>
  </si>
  <si>
    <t>Jianmin.Huang@YoloCounty.org</t>
  </si>
  <si>
    <t>Jeremy</t>
  </si>
  <si>
    <t>Van Horn</t>
  </si>
  <si>
    <t>Jeremy.vanhorn@yolocounty.org</t>
  </si>
  <si>
    <t>Suzie</t>
  </si>
  <si>
    <t>Dawley</t>
  </si>
  <si>
    <t>Susie.Dawlwy@YoloCounty.org</t>
  </si>
  <si>
    <t>Fiscal</t>
  </si>
  <si>
    <t>Shriti</t>
  </si>
  <si>
    <t>Jeet</t>
  </si>
  <si>
    <t>Shriti.Jeet@YoloCounty.org</t>
  </si>
  <si>
    <t>Shelby</t>
  </si>
  <si>
    <t>Miliren</t>
  </si>
  <si>
    <t xml:space="preserve">Shelby.Milliren@YoloCounty.org </t>
  </si>
  <si>
    <t>Maryam</t>
  </si>
  <si>
    <t>Farhoudi</t>
  </si>
  <si>
    <t xml:space="preserve">Maryam.Farhoodi@YoloCounty.org </t>
  </si>
  <si>
    <t>Pam</t>
  </si>
  <si>
    <t>Hedrick</t>
  </si>
  <si>
    <t>Pam.Hedrick@YoloCounty.org</t>
  </si>
  <si>
    <t>Planning</t>
  </si>
  <si>
    <t>Charlie</t>
  </si>
  <si>
    <t>Tschudin</t>
  </si>
  <si>
    <t>Charlie.Tschudin@YoloCounty.org</t>
  </si>
  <si>
    <t>Jeff</t>
  </si>
  <si>
    <t>Jeff.Anderson@YoloCounty.org</t>
  </si>
  <si>
    <t>JD</t>
  </si>
  <si>
    <t>Trebec</t>
  </si>
  <si>
    <t>JD.Trebec@YoloCounty.org</t>
  </si>
  <si>
    <t>Stephanie</t>
  </si>
  <si>
    <t>Cormier</t>
  </si>
  <si>
    <t>Stephanie.Cormier@YoloCounty.org</t>
  </si>
  <si>
    <t>Tracy</t>
  </si>
  <si>
    <t>Gonzalez</t>
  </si>
  <si>
    <t>Tracy.Gonzalez@YoloCounty.org</t>
  </si>
  <si>
    <t>Public Works</t>
  </si>
  <si>
    <t>Jair</t>
  </si>
  <si>
    <t>Bautisa</t>
  </si>
  <si>
    <t>Jair.Bautista@YoloCounty.org</t>
  </si>
  <si>
    <t>Josue</t>
  </si>
  <si>
    <t>Pimentel-Morra</t>
  </si>
  <si>
    <t>Josue.Pimentel@YoloCounty.org</t>
  </si>
  <si>
    <t>User Groups</t>
  </si>
  <si>
    <t>Code Enforcement</t>
  </si>
  <si>
    <t>CSD/CSA</t>
  </si>
  <si>
    <t>Fire District</t>
  </si>
  <si>
    <t>Field</t>
  </si>
  <si>
    <t>Related
(click to see detailed info)</t>
  </si>
  <si>
    <t>Button</t>
  </si>
  <si>
    <t>Application Condition</t>
  </si>
  <si>
    <t>Skip</t>
  </si>
  <si>
    <t>Address and/or APN</t>
  </si>
  <si>
    <t>Add more location information</t>
  </si>
  <si>
    <t>Required</t>
  </si>
  <si>
    <t>Owner</t>
  </si>
  <si>
    <t>&lt;contact&gt; = [owner, applicant, contractor, architect, engineer, other]</t>
  </si>
  <si>
    <t>Add an additional contact</t>
  </si>
  <si>
    <t>CA Licensed Contractor</t>
  </si>
  <si>
    <t>Required, with Owner-Builder option; 
Autofill if previous is contractor</t>
  </si>
  <si>
    <t>Applicant</t>
  </si>
  <si>
    <t>Permit Description</t>
  </si>
  <si>
    <t>Permit Categories</t>
  </si>
  <si>
    <t>Next / Run Sub PermitCategory</t>
  </si>
  <si>
    <t>CA Licensed Design Professional</t>
  </si>
  <si>
    <t>&lt;contact&gt;</t>
  </si>
  <si>
    <t>Add an additional inspection
Mark as not required</t>
  </si>
  <si>
    <t>Submittal Requirements</t>
  </si>
  <si>
    <t>Add an additional requirement
Mark as not required</t>
  </si>
  <si>
    <t>Add an additional review
Mark as not required</t>
  </si>
  <si>
    <t>Fees</t>
  </si>
  <si>
    <t>Add an additional fee
Mark as not required</t>
  </si>
  <si>
    <t>Display?</t>
  </si>
  <si>
    <t>Name</t>
  </si>
  <si>
    <t>Entry</t>
  </si>
  <si>
    <t>Data Validation</t>
  </si>
  <si>
    <t>Always</t>
  </si>
  <si>
    <t>Project Type (select all that apply)</t>
  </si>
  <si>
    <t>Building/Structure</t>
  </si>
  <si>
    <t>Which of these best describes the structure?</t>
  </si>
  <si>
    <t>List: Residential Dwelling, Commercial Building, Accessory Structure</t>
  </si>
  <si>
    <t>The scope of work is for which of the following?</t>
  </si>
  <si>
    <t>List: New, Addition, Alteration/Repair/Replacement</t>
  </si>
  <si>
    <t>Project Scope / Description</t>
  </si>
  <si>
    <t>Project Construction Valuation (Market value for all labor and material)</t>
  </si>
  <si>
    <t>Positive Integer</t>
  </si>
  <si>
    <t>Address</t>
  </si>
  <si>
    <t>any</t>
  </si>
  <si>
    <t>APN</t>
  </si>
  <si>
    <t>Applicant Role (select all that apply)</t>
  </si>
  <si>
    <t>Applicant is Owner</t>
  </si>
  <si>
    <t>List: Yes, No</t>
  </si>
  <si>
    <t>Applicant is Contractor</t>
  </si>
  <si>
    <t>Applicant is Designer</t>
  </si>
  <si>
    <t>Applicant is Other (explain in description)</t>
  </si>
  <si>
    <t>Applicant Name</t>
  </si>
  <si>
    <t>Applicant Address</t>
  </si>
  <si>
    <t>Applicant City-State-Zip</t>
  </si>
  <si>
    <t>Applicant Email</t>
  </si>
  <si>
    <t>Applicant Phone</t>
  </si>
  <si>
    <t>Owner Role (select all that apply)</t>
  </si>
  <si>
    <t xml:space="preserve">The owner has hired, or will hire, a contractor </t>
  </si>
  <si>
    <t>The owner will perform all of the work</t>
  </si>
  <si>
    <t>The owner employs the workers</t>
  </si>
  <si>
    <t>Other (explain in description)</t>
  </si>
  <si>
    <t>Owner Name</t>
  </si>
  <si>
    <t>Owner Address</t>
  </si>
  <si>
    <t>Owner City-State-Zip</t>
  </si>
  <si>
    <t>Owner Email</t>
  </si>
  <si>
    <t>Owner Phone</t>
  </si>
  <si>
    <t>Contractor CSLB Type</t>
  </si>
  <si>
    <t>Contractor License Description</t>
  </si>
  <si>
    <t>Contractor License Number</t>
  </si>
  <si>
    <t>Contractor Business Name</t>
  </si>
  <si>
    <t>Contractor Contact Name</t>
  </si>
  <si>
    <t>Contractor Address</t>
  </si>
  <si>
    <t>Contractor City-State-Zip</t>
  </si>
  <si>
    <t>Contractor Email</t>
  </si>
  <si>
    <t>Contractor Phone</t>
  </si>
  <si>
    <t>Designer License Type (select all that apply)</t>
  </si>
  <si>
    <t>Architect</t>
  </si>
  <si>
    <t>Engineer</t>
  </si>
  <si>
    <t>Surveyor</t>
  </si>
  <si>
    <t>Contractor</t>
  </si>
  <si>
    <t>Designer License Number</t>
  </si>
  <si>
    <t>Designer Business Name</t>
  </si>
  <si>
    <t>Designer Contact Name</t>
  </si>
  <si>
    <t>Designer Address</t>
  </si>
  <si>
    <t>Designer City-State-Zip</t>
  </si>
  <si>
    <t>Designer Email</t>
  </si>
  <si>
    <t>Designer Phone</t>
  </si>
  <si>
    <t>Workers Compensation is Probably Required</t>
  </si>
  <si>
    <t>Will workers' compensation insurance be provided?</t>
  </si>
  <si>
    <t>Explain why workers' compensation insurance is not required.</t>
  </si>
  <si>
    <t>Policy Holder</t>
  </si>
  <si>
    <t>Policy Number</t>
  </si>
  <si>
    <t>Insurance Company</t>
  </si>
  <si>
    <t>Insurance Agent</t>
  </si>
  <si>
    <t>Insurance Agent Phone</t>
  </si>
  <si>
    <t>Ag Exempt</t>
  </si>
  <si>
    <t>What is the current permitted use of the structure?</t>
  </si>
  <si>
    <t>List: Habitable, Occupiable, Non-Occupiable, Not-Permitted</t>
  </si>
  <si>
    <t>Demolition Scope</t>
  </si>
  <si>
    <t>List: Total, Partial, Pool</t>
  </si>
  <si>
    <t>Existing Area (square feet)</t>
  </si>
  <si>
    <t>Existing Height (feet)</t>
  </si>
  <si>
    <t>Existing Height (stories)</t>
  </si>
  <si>
    <t>Total Disturbed Area (sf)</t>
  </si>
  <si>
    <t>Total Disturbed Area (acres)</t>
  </si>
  <si>
    <t>Maximum Depth of Cut (ft)</t>
  </si>
  <si>
    <t>Maximum Depth of Fill (ft)</t>
  </si>
  <si>
    <t>Steepest Cut Slope (H:1)</t>
  </si>
  <si>
    <t>Steepest Fill Slope (H:1)</t>
  </si>
  <si>
    <t>Total Cut Volume (Cubic Yards)</t>
  </si>
  <si>
    <t>Total Fill Volume (Cubic Yards)</t>
  </si>
  <si>
    <t>Total Export (cubic yards)</t>
  </si>
  <si>
    <t>Total Import (cubic yards)</t>
  </si>
  <si>
    <t>Is a pool enclosure or automatic pool cover proposed?</t>
  </si>
  <si>
    <t>What is the second method of drowning prevention?</t>
  </si>
  <si>
    <t>Replace or Install Main Service Panel</t>
  </si>
  <si>
    <t>Panel Potential (Volts)</t>
  </si>
  <si>
    <t>Panel Current (Amperes)</t>
  </si>
  <si>
    <t>Install or replace general lighting and receptacles</t>
  </si>
  <si>
    <t>Area served by general lighting/receptacles (square feet)</t>
  </si>
  <si>
    <t>Install or Replace Solar Photovoltaic Equipment</t>
  </si>
  <si>
    <t>Install or Replace Energy Storage Systems (Batteries)</t>
  </si>
  <si>
    <t>Install or Replace Electric Vehicle Charging Station</t>
  </si>
  <si>
    <t>Install or Replace Fire Alarms</t>
  </si>
  <si>
    <t>Area served by Fire Alarms (square feet)</t>
  </si>
  <si>
    <t>Install or Replace Motor Loads</t>
  </si>
  <si>
    <t>Install or Replace HVAC Unit(s)</t>
  </si>
  <si>
    <t>HVAC Quantity</t>
  </si>
  <si>
    <t>Install or Replace Other Appliance or Equipment</t>
  </si>
  <si>
    <t>Describe the Applicance or Equipment</t>
  </si>
  <si>
    <t>Mechanical Appliance Quantity</t>
  </si>
  <si>
    <t>Install or Replace Gas Line(s)</t>
  </si>
  <si>
    <t>Length of gas line (feet)</t>
  </si>
  <si>
    <t>Diameter of gas pipe (inches)</t>
  </si>
  <si>
    <t>Fuel load demand (btu/hour)</t>
  </si>
  <si>
    <t>Install or Replace Water Heater(s)</t>
  </si>
  <si>
    <t>Is the water heater a heat pump water heater?</t>
  </si>
  <si>
    <t>Describe the water heater type</t>
  </si>
  <si>
    <t>Install or replace general plumbing fixtures and piping</t>
  </si>
  <si>
    <t>Area served by general plumbing (square feet)</t>
  </si>
  <si>
    <t>Install or replace building sewer</t>
  </si>
  <si>
    <t>Install or replace water supply</t>
  </si>
  <si>
    <t>Install or replace drain/waste/vent piping</t>
  </si>
  <si>
    <t>Install or replace plumbing fixture(s)</t>
  </si>
  <si>
    <t>Residential Dwelling, Addition</t>
  </si>
  <si>
    <t>Which of these best describes the addition?</t>
  </si>
  <si>
    <t>Add Deck</t>
  </si>
  <si>
    <t>Add Patio Cover</t>
  </si>
  <si>
    <t>Add Living Area</t>
  </si>
  <si>
    <t>Will this project also alter the existing structure?</t>
  </si>
  <si>
    <t>Residential Dwelling, Alteration</t>
  </si>
  <si>
    <t>What parts of the dwelling are being altered, repaired or replaced? (check all that apply)</t>
  </si>
  <si>
    <t>Reroof</t>
  </si>
  <si>
    <t>Roof Slope ( x:12)</t>
  </si>
  <si>
    <t>Positive Integer up to 100</t>
  </si>
  <si>
    <t>Will the existing roofing be removed?</t>
  </si>
  <si>
    <t>Existing Roof Material</t>
  </si>
  <si>
    <t>Existing Roofing Description</t>
  </si>
  <si>
    <t>Proposed Roof Material</t>
  </si>
  <si>
    <t>Proposed Roof Description</t>
  </si>
  <si>
    <t>Replace Siding</t>
  </si>
  <si>
    <t>Replace Stucco</t>
  </si>
  <si>
    <t>Replace Windows/Doors (like for like)</t>
  </si>
  <si>
    <t>Bathroom Remodel</t>
  </si>
  <si>
    <t>Kitchen Remodel</t>
  </si>
  <si>
    <t>Remove or relocate interior walls</t>
  </si>
  <si>
    <t>Other:</t>
  </si>
  <si>
    <t>Residential New</t>
  </si>
  <si>
    <t>Detached Single-Family Dwelling up to 2 stories</t>
  </si>
  <si>
    <t>Accessory Dwelling Unit</t>
  </si>
  <si>
    <t>Townhouse</t>
  </si>
  <si>
    <t>Manufactured Home or Tiny Home on Wheels</t>
  </si>
  <si>
    <t>Multi-Family (3+ Dwelling Units)</t>
  </si>
  <si>
    <t>Detached Habitable Area (Non-Dwelling)</t>
  </si>
  <si>
    <t>Commercial Building</t>
  </si>
  <si>
    <t>Group A Assembly (50+ occupants)</t>
  </si>
  <si>
    <t>Group B: Business / Office</t>
  </si>
  <si>
    <t>Group F: Factory / Industrial / Processing</t>
  </si>
  <si>
    <t>Group H: High Hazard</t>
  </si>
  <si>
    <t>Group M: Mercantile / Retail</t>
  </si>
  <si>
    <t>Group R: Residential (not covered by CRC)</t>
  </si>
  <si>
    <t>Group S: Storage / Warehouse</t>
  </si>
  <si>
    <t>Group U: Utility / Accessory</t>
  </si>
  <si>
    <t>Area of Group A (square feet)</t>
  </si>
  <si>
    <t>Area of Group B (square feet)</t>
  </si>
  <si>
    <t>Area of Group F (square feet)</t>
  </si>
  <si>
    <t>Area of Group H (square feet)</t>
  </si>
  <si>
    <t>Area of Group M (square feet)</t>
  </si>
  <si>
    <t>Area of Group R (square feet)</t>
  </si>
  <si>
    <t>Area of Group S (square feet)</t>
  </si>
  <si>
    <t>Area of Group U (square feet)</t>
  </si>
  <si>
    <t>Total Area, Conditioned</t>
  </si>
  <si>
    <t>Total Area, Unconditioned but Enclosed</t>
  </si>
  <si>
    <t>Total Area, Not Enclosed but Covered</t>
  </si>
  <si>
    <t>Type of Construction = VB (any materials)</t>
  </si>
  <si>
    <t>Type of Construction = IIB (non-combustible)</t>
  </si>
  <si>
    <t>Type of Construction = other</t>
  </si>
  <si>
    <t>Fire Separation Distance</t>
  </si>
  <si>
    <t>Is the structure separated into multiple fire areas?</t>
  </si>
  <si>
    <t>No</t>
  </si>
  <si>
    <t>Are fire sprinklers required?</t>
  </si>
  <si>
    <t>Area fire sprinklers provided?</t>
  </si>
  <si>
    <t>Group U Utility / Accessory Structure</t>
  </si>
  <si>
    <t>Cell Tower</t>
  </si>
  <si>
    <t>Garage</t>
  </si>
  <si>
    <t>Propane Tank (Above Ground)</t>
  </si>
  <si>
    <t>Propane Tank (Underground)</t>
  </si>
  <si>
    <t>Shed</t>
  </si>
  <si>
    <t>Water Tank</t>
  </si>
  <si>
    <t>Other</t>
  </si>
  <si>
    <t>School District</t>
  </si>
  <si>
    <t>Land Use Zoning</t>
  </si>
  <si>
    <t>High Expansive Potential of Soils</t>
  </si>
  <si>
    <t>Flood Zone</t>
  </si>
  <si>
    <t>WUI</t>
  </si>
  <si>
    <t>[END.APPLICATION]</t>
  </si>
  <si>
    <t>Default Review Value</t>
  </si>
  <si>
    <t>Review</t>
  </si>
  <si>
    <t>Yes</t>
  </si>
  <si>
    <t>Auto Fire</t>
  </si>
  <si>
    <t>Review Index</t>
  </si>
  <si>
    <t>#</t>
  </si>
  <si>
    <t>Permit Number</t>
  </si>
  <si>
    <t>Review Cycle</t>
  </si>
  <si>
    <t>B</t>
  </si>
  <si>
    <t>C</t>
  </si>
  <si>
    <t>Staff Override</t>
  </si>
  <si>
    <t>Notes</t>
  </si>
  <si>
    <t>Review Coordinator</t>
  </si>
  <si>
    <t>Cycle 1 Days</t>
  </si>
  <si>
    <t>Cycle 2 Days</t>
  </si>
  <si>
    <t>Allotted Time (Hours)</t>
  </si>
  <si>
    <t>Actual Time (Hours)</t>
  </si>
  <si>
    <t>Hourly Rate</t>
  </si>
  <si>
    <t>Allotted Review Fee</t>
  </si>
  <si>
    <t>Allotted Review Fee2</t>
  </si>
  <si>
    <t>Completed by</t>
  </si>
  <si>
    <t>Completed</t>
  </si>
  <si>
    <t>Assigned To</t>
  </si>
  <si>
    <t>Due</t>
  </si>
  <si>
    <t>Sent To</t>
  </si>
  <si>
    <t>Sent</t>
  </si>
  <si>
    <t>Age</t>
  </si>
  <si>
    <t>Created by</t>
  </si>
  <si>
    <t>Created Date</t>
  </si>
  <si>
    <t>Created Time</t>
  </si>
  <si>
    <t>TEST.001</t>
  </si>
  <si>
    <t>Applicant.</t>
  </si>
  <si>
    <t>&lt;applicant&gt;</t>
  </si>
  <si>
    <t>Created</t>
  </si>
  <si>
    <t>&lt;user&gt;</t>
  </si>
  <si>
    <t>FSA</t>
  </si>
  <si>
    <t>School</t>
  </si>
  <si>
    <t>District.</t>
  </si>
  <si>
    <t>DCS.</t>
  </si>
  <si>
    <t>Bldg.</t>
  </si>
  <si>
    <t>Full</t>
  </si>
  <si>
    <t>Accessibility</t>
  </si>
  <si>
    <t>Addressing</t>
  </si>
  <si>
    <t>AgExempt</t>
  </si>
  <si>
    <t>Architectural</t>
  </si>
  <si>
    <t>CC/MH/THOW</t>
  </si>
  <si>
    <t>Green/Energy</t>
  </si>
  <si>
    <t>Fire.Alarms</t>
  </si>
  <si>
    <t>Fire.Sprinklers</t>
  </si>
  <si>
    <t>Pool</t>
  </si>
  <si>
    <t>Rapid</t>
  </si>
  <si>
    <t>Structural</t>
  </si>
  <si>
    <t>CE.</t>
  </si>
  <si>
    <t>Compliance</t>
  </si>
  <si>
    <t>EH.</t>
  </si>
  <si>
    <t>Cannabis.Unit</t>
  </si>
  <si>
    <t>Consumer.Protection</t>
  </si>
  <si>
    <t>Land.Use</t>
  </si>
  <si>
    <t>HazMat</t>
  </si>
  <si>
    <t>N/A</t>
  </si>
  <si>
    <t>IWM.</t>
  </si>
  <si>
    <t>C&amp;D</t>
  </si>
  <si>
    <t>Planning.</t>
  </si>
  <si>
    <t>Corrections Sent</t>
  </si>
  <si>
    <t>PW.</t>
  </si>
  <si>
    <t>See Next Cycle</t>
  </si>
  <si>
    <t>Index</t>
  </si>
  <si>
    <t>Units</t>
  </si>
  <si>
    <t>Quantity</t>
  </si>
  <si>
    <t>Total Inspection Time (on-site)</t>
  </si>
  <si>
    <t>Standard Stops</t>
  </si>
  <si>
    <t>Special Trips</t>
  </si>
  <si>
    <t>Total Fee</t>
  </si>
  <si>
    <t>Bldg.Insp.Default</t>
  </si>
  <si>
    <t>LOW</t>
  </si>
  <si>
    <t>HI</t>
  </si>
  <si>
    <t>* Final Bldg</t>
  </si>
  <si>
    <t>* Final C&amp;D</t>
  </si>
  <si>
    <t>* Final EH</t>
  </si>
  <si>
    <t>* Final Fire</t>
  </si>
  <si>
    <t>Tasks for configuring this sheet:</t>
  </si>
  <si>
    <t>* Final PW</t>
  </si>
  <si>
    <t>Review which inspections are "flat" and which require variation by project size/type</t>
  </si>
  <si>
    <t>** PERMIT FINAL **</t>
  </si>
  <si>
    <t>Flat Fee</t>
  </si>
  <si>
    <t>Review the low side of the scale and minimum time/trips spent on inspection.</t>
  </si>
  <si>
    <t>AgExempt.1.Fnd/Site/EC2</t>
  </si>
  <si>
    <t>Review the high side of the scale and "maximum" time/trips spent on an inspection.</t>
  </si>
  <si>
    <t>AgExempt.2.Final/C&amp;D/EC3</t>
  </si>
  <si>
    <t>Add any missing inspections or variants</t>
  </si>
  <si>
    <t>AgExempt.3.Annual</t>
  </si>
  <si>
    <t>Arch.Insul.Ceiling</t>
  </si>
  <si>
    <t>Arch.Insul.Floor</t>
  </si>
  <si>
    <t>Arch.Insul.Rafters</t>
  </si>
  <si>
    <t>Arch.Insul.RoofDeck</t>
  </si>
  <si>
    <t>Arch.Insul.Wall.Cavity</t>
  </si>
  <si>
    <t>Arch.Insul.Wall.Panels</t>
  </si>
  <si>
    <t>Arch.Roofing</t>
  </si>
  <si>
    <t>Arch.Siding</t>
  </si>
  <si>
    <t>Arch.Stucco.Lath</t>
  </si>
  <si>
    <t>Arch.Stucco.Scratch</t>
  </si>
  <si>
    <t>Arch.Windows</t>
  </si>
  <si>
    <t>Demo.1.Pre</t>
  </si>
  <si>
    <t>Demo.2.Post</t>
  </si>
  <si>
    <t>Elc.Battery</t>
  </si>
  <si>
    <t>Elc.Equipment</t>
  </si>
  <si>
    <t>Valuation</t>
  </si>
  <si>
    <t>Elc.EV</t>
  </si>
  <si>
    <t>Elc.Final</t>
  </si>
  <si>
    <t>Elc.FireAlarms</t>
  </si>
  <si>
    <t>Elc.MeterRelease</t>
  </si>
  <si>
    <t>V-A</t>
  </si>
  <si>
    <t>Elc.Rough</t>
  </si>
  <si>
    <t>Elc.Solar</t>
  </si>
  <si>
    <t>kilowatt</t>
  </si>
  <si>
    <t>Elc.Switchgear</t>
  </si>
  <si>
    <t>Elc.Underground</t>
  </si>
  <si>
    <t>Flood.EC2.LowestFloor</t>
  </si>
  <si>
    <t>Flood.EC3.FinishedConstruction</t>
  </si>
  <si>
    <t>Grading.Final</t>
  </si>
  <si>
    <t>acres</t>
  </si>
  <si>
    <t>Per Acre</t>
  </si>
  <si>
    <t>Grading.Lift/Progress</t>
  </si>
  <si>
    <t>cubic yards</t>
  </si>
  <si>
    <t>Per CY</t>
  </si>
  <si>
    <t>Grading.SitePrep</t>
  </si>
  <si>
    <t>Mch.Final</t>
  </si>
  <si>
    <t>Mch.HoodT1</t>
  </si>
  <si>
    <t>Mch.HoodT2</t>
  </si>
  <si>
    <t>Mch.HVAC</t>
  </si>
  <si>
    <t>Mch.Rough</t>
  </si>
  <si>
    <t>Plb.Final</t>
  </si>
  <si>
    <t>Plb.Gas</t>
  </si>
  <si>
    <t>Plb.Rough</t>
  </si>
  <si>
    <t>Plb.Underground</t>
  </si>
  <si>
    <t>Plb.WH.Gas</t>
  </si>
  <si>
    <t>Flat</t>
  </si>
  <si>
    <t>Plb.WH.HeatPump</t>
  </si>
  <si>
    <t>Plb.WH.Solar</t>
  </si>
  <si>
    <t>Pool.HotTub</t>
  </si>
  <si>
    <t>Pool.PreDeck</t>
  </si>
  <si>
    <t>Pool.PreGunite</t>
  </si>
  <si>
    <t>Pool.PrePlaster</t>
  </si>
  <si>
    <t>Reroof.1.RoofDeck</t>
  </si>
  <si>
    <t>Reroof.2.Final</t>
  </si>
  <si>
    <t>Str.Conc.Footings/Piers</t>
  </si>
  <si>
    <t>Str.Conc.Slab</t>
  </si>
  <si>
    <t>Str.Conc.Walls</t>
  </si>
  <si>
    <t>Str.GypsumNailing</t>
  </si>
  <si>
    <t>Str.Mason.1.Footing</t>
  </si>
  <si>
    <t>Str.Mason.2.Lift</t>
  </si>
  <si>
    <t>Str.Mason.3.Cap</t>
  </si>
  <si>
    <t>Str.Wood.1.Subfloor</t>
  </si>
  <si>
    <t>Str.Wood.2.Shear&amp;RoofDeck</t>
  </si>
  <si>
    <t>Str.Wood.3.Frame</t>
  </si>
  <si>
    <t>T25.1.Anchoring/Setup</t>
  </si>
  <si>
    <t>T25.3.Marriage/Utilities</t>
  </si>
  <si>
    <t>T25.5.Egress</t>
  </si>
  <si>
    <t>T25.6.DisabledAccess</t>
  </si>
  <si>
    <t>T25.7.Final</t>
  </si>
  <si>
    <t>D</t>
  </si>
  <si>
    <t>E</t>
  </si>
  <si>
    <t>Master Fee Schedule Name</t>
  </si>
  <si>
    <t>Auto-Include</t>
  </si>
  <si>
    <t>Staff Over-ride</t>
  </si>
  <si>
    <t>QTY</t>
  </si>
  <si>
    <t>Review Time (each)</t>
  </si>
  <si>
    <t>Review Fee</t>
  </si>
  <si>
    <t>Insp. Time (each)</t>
  </si>
  <si>
    <t>Insp. Fee</t>
  </si>
  <si>
    <t>Rate</t>
  </si>
  <si>
    <t>Fee</t>
  </si>
  <si>
    <t>Pay Now?</t>
  </si>
  <si>
    <t>Due Now (Balance x 
Pay Now?)</t>
  </si>
  <si>
    <t>Receipt #</t>
  </si>
  <si>
    <t>Paid</t>
  </si>
  <si>
    <t>Balance
(Fee minus Paid)</t>
  </si>
  <si>
    <t>Percentage</t>
  </si>
  <si>
    <t>Amount</t>
  </si>
  <si>
    <t>Account Nickname</t>
  </si>
  <si>
    <t>Fund</t>
  </si>
  <si>
    <t>Budget Unit</t>
  </si>
  <si>
    <t>Cost Center</t>
  </si>
  <si>
    <t>GL Account</t>
  </si>
  <si>
    <t>GL Transfer Fund</t>
  </si>
  <si>
    <t>CAMS Project Number</t>
  </si>
  <si>
    <t>Infor Activity</t>
  </si>
  <si>
    <t>Infor Account Category</t>
  </si>
  <si>
    <t>Revenue Ledger Account Number</t>
  </si>
  <si>
    <t>Revenue Ledger Account Name for Journal Entries</t>
  </si>
  <si>
    <t>CA.</t>
  </si>
  <si>
    <t>BldStd.</t>
  </si>
  <si>
    <t>Com.</t>
  </si>
  <si>
    <t>California Building Standards Fee (State Pass-Through Fee)</t>
  </si>
  <si>
    <t>BldgStds(State)</t>
  </si>
  <si>
    <t>2975-BD5003</t>
  </si>
  <si>
    <t>Res.</t>
  </si>
  <si>
    <t>Add all fees</t>
  </si>
  <si>
    <t>Seismic.</t>
  </si>
  <si>
    <t>Strong Motion Instrumentation and Seismic Hazard Mapping (State Pass Through Fee) ($7 for Strong Motion Instrumentation and $3 for Seismic Hazard Mapping)</t>
  </si>
  <si>
    <t>Add all account information</t>
  </si>
  <si>
    <t>StrongMotion(State)</t>
  </si>
  <si>
    <t>Admin.</t>
  </si>
  <si>
    <t>Addressing.</t>
  </si>
  <si>
    <t>each</t>
  </si>
  <si>
    <t>AgExempt.</t>
  </si>
  <si>
    <t>AMMR.</t>
  </si>
  <si>
    <t>Print.</t>
  </si>
  <si>
    <t>perPage</t>
  </si>
  <si>
    <t>Scan.</t>
  </si>
  <si>
    <t>Hrs</t>
  </si>
  <si>
    <t>Review.</t>
  </si>
  <si>
    <t>Demo.</t>
  </si>
  <si>
    <t>Grading.</t>
  </si>
  <si>
    <t>Pool.</t>
  </si>
  <si>
    <t>T25.</t>
  </si>
  <si>
    <t>Electrical.</t>
  </si>
  <si>
    <t>Mechanical.</t>
  </si>
  <si>
    <t>Plumbing.</t>
  </si>
  <si>
    <t>Structural.</t>
  </si>
  <si>
    <t>Conventional.</t>
  </si>
  <si>
    <t>SQFT</t>
  </si>
  <si>
    <t>Engineering.</t>
  </si>
  <si>
    <t>Insp.</t>
  </si>
  <si>
    <t>Reference MOU for minimum time allotted for work after hours</t>
  </si>
  <si>
    <t>Combo.</t>
  </si>
  <si>
    <t>FSA.</t>
  </si>
  <si>
    <t>Davis.</t>
  </si>
  <si>
    <t>CRC.</t>
  </si>
  <si>
    <t>perUnit</t>
  </si>
  <si>
    <t>ADU1.</t>
  </si>
  <si>
    <t>ADU2.</t>
  </si>
  <si>
    <t>perSQFT</t>
  </si>
  <si>
    <t>Factory.</t>
  </si>
  <si>
    <t>Office.</t>
  </si>
  <si>
    <t>Retail.</t>
  </si>
  <si>
    <t>Warehouse.</t>
  </si>
  <si>
    <t>WestSac.</t>
  </si>
  <si>
    <t>Winters.</t>
  </si>
  <si>
    <t>Woodland.</t>
  </si>
  <si>
    <t>Yolo.</t>
  </si>
  <si>
    <t>Administration</t>
  </si>
  <si>
    <t>Building A - Temp Occ and Permit Ext</t>
  </si>
  <si>
    <t>01002</t>
  </si>
  <si>
    <t>2029</t>
  </si>
  <si>
    <t>716350</t>
  </si>
  <si>
    <t>400310</t>
  </si>
  <si>
    <t>0000</t>
  </si>
  <si>
    <t>Building B</t>
  </si>
  <si>
    <t>Building Main Account</t>
  </si>
  <si>
    <t>5031</t>
  </si>
  <si>
    <t>756350</t>
  </si>
  <si>
    <t>Building Division Subtotal</t>
  </si>
  <si>
    <t>Building Copies</t>
  </si>
  <si>
    <t>40400</t>
  </si>
  <si>
    <t>Other Fees</t>
  </si>
  <si>
    <t>Building Seismic</t>
  </si>
  <si>
    <t>9900</t>
  </si>
  <si>
    <t>0100012</t>
  </si>
  <si>
    <t>10700</t>
  </si>
  <si>
    <t>0022</t>
  </si>
  <si>
    <t>Total Fees</t>
  </si>
  <si>
    <t>Building Bldg Std</t>
  </si>
  <si>
    <t>0033</t>
  </si>
  <si>
    <t>756315</t>
  </si>
  <si>
    <t>Building Disability Access</t>
  </si>
  <si>
    <t>756325</t>
  </si>
  <si>
    <t>Array with the names of all required inspections paired with uniqueID</t>
  </si>
  <si>
    <t>Array with the names of all required submittals paired with uniqueID</t>
  </si>
  <si>
    <t>Array with the names of all required reviews paired with uniqueID</t>
  </si>
  <si>
    <t>Array with the names of all required fees paired with uniqueID</t>
  </si>
  <si>
    <t>Project Location</t>
  </si>
  <si>
    <t>Required for some permit types</t>
  </si>
  <si>
    <t>Remaining Fees</t>
  </si>
  <si>
    <t>Required except for admin records</t>
  </si>
  <si>
    <t>Required except for OTC permit types</t>
  </si>
  <si>
    <t>Autofill if previous is applicant</t>
  </si>
  <si>
    <t>[OTC, Rapid, Expedited, Full, Major]</t>
  </si>
  <si>
    <t>Review Workflow</t>
  </si>
  <si>
    <t>Request Expedited Review</t>
  </si>
  <si>
    <t>Variable used to determine review workflow</t>
  </si>
  <si>
    <t>Fee Code</t>
  </si>
  <si>
    <t>Letter.</t>
  </si>
  <si>
    <t>Ledger.</t>
  </si>
  <si>
    <t>Large.</t>
  </si>
  <si>
    <t>Column1</t>
  </si>
  <si>
    <t>Days Until Due</t>
  </si>
  <si>
    <t>Delta (hrs)</t>
  </si>
  <si>
    <t>Req'd</t>
  </si>
  <si>
    <t>Air District Form</t>
  </si>
  <si>
    <t>IWM C&amp;D Plan</t>
  </si>
  <si>
    <t>EH Land Use Review Survey</t>
  </si>
  <si>
    <t>Building Permit Application</t>
  </si>
  <si>
    <t>Forms</t>
  </si>
  <si>
    <t>Plans</t>
  </si>
  <si>
    <t>Site</t>
  </si>
  <si>
    <t>Floor</t>
  </si>
  <si>
    <t>Accessible Routes</t>
  </si>
  <si>
    <t>Means of Egress</t>
  </si>
  <si>
    <t>Elevations</t>
  </si>
  <si>
    <t>Sections</t>
  </si>
  <si>
    <t>Details</t>
  </si>
  <si>
    <t>Roof</t>
  </si>
  <si>
    <t>Foundation</t>
  </si>
  <si>
    <t>Framing</t>
  </si>
  <si>
    <t>Foos Safety</t>
  </si>
  <si>
    <t>Calculations</t>
  </si>
  <si>
    <t>Trusses</t>
  </si>
  <si>
    <t>Lateral</t>
  </si>
  <si>
    <t>Fire Sprinkler Hydraulics</t>
  </si>
  <si>
    <t xml:space="preserve">Drainage Hydraulics </t>
  </si>
  <si>
    <t xml:space="preserve">Manufacturer's Installation Instructions </t>
  </si>
  <si>
    <t>Product Listing</t>
  </si>
  <si>
    <t>Specs</t>
  </si>
  <si>
    <t>Document</t>
  </si>
  <si>
    <t>Fence</t>
  </si>
  <si>
    <t>Retaining Wall</t>
  </si>
  <si>
    <t>Sign</t>
  </si>
  <si>
    <t>Private Garage</t>
  </si>
  <si>
    <t xml:space="preserve">Shed </t>
  </si>
  <si>
    <t>Barn</t>
  </si>
  <si>
    <t>Patio Cover or Canopy</t>
  </si>
  <si>
    <t>Pool House</t>
  </si>
  <si>
    <t>See Pool/Spa</t>
  </si>
  <si>
    <t>Habitable Dwelling</t>
  </si>
  <si>
    <t>Unoccupied Structure</t>
  </si>
  <si>
    <t>Partial</t>
  </si>
  <si>
    <t>Dwelling</t>
  </si>
  <si>
    <t>Manufactured Home</t>
  </si>
  <si>
    <t>Single-Family</t>
  </si>
  <si>
    <t>Multi-Family (3+ or more dwelling units)</t>
  </si>
  <si>
    <t>Two-Family (Duplex)</t>
  </si>
  <si>
    <t>Tiny Home on Wheels</t>
  </si>
  <si>
    <t>Transient (Hotel/Motel)</t>
  </si>
  <si>
    <t>Assembly</t>
  </si>
  <si>
    <t>Business/Office</t>
  </si>
  <si>
    <t>Factory/Industrial/Processing</t>
  </si>
  <si>
    <t>Mercantile</t>
  </si>
  <si>
    <t>Storage/Warehouse</t>
  </si>
  <si>
    <t>High-Hazard</t>
  </si>
  <si>
    <t>Utility/Miscellaneous</t>
  </si>
  <si>
    <t>See Accessory</t>
  </si>
  <si>
    <t>Type</t>
  </si>
  <si>
    <t>Column2</t>
  </si>
  <si>
    <t>Column3</t>
  </si>
  <si>
    <t>Column4</t>
  </si>
  <si>
    <t xml:space="preserve">Electrical </t>
  </si>
  <si>
    <t xml:space="preserve">EVCS Electric Vehicle Charging Station </t>
  </si>
  <si>
    <t>Battery Energy Storage System</t>
  </si>
  <si>
    <t>Service A up to 400 A</t>
  </si>
  <si>
    <t>Service B over 400 A</t>
  </si>
  <si>
    <t>General Lighting and Receptacles</t>
  </si>
  <si>
    <t>Motor Loads / Wells / Pumps</t>
  </si>
  <si>
    <t>Solar PV Res Ground</t>
  </si>
  <si>
    <t>Solar PV Res Roof</t>
  </si>
  <si>
    <t>Solar PV Com Ground</t>
  </si>
  <si>
    <t>Solar PV Com Roof</t>
  </si>
  <si>
    <t>Generator</t>
  </si>
  <si>
    <t>Fire Alarms</t>
  </si>
  <si>
    <t>Minor</t>
  </si>
  <si>
    <t>Major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</si>
</sst>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$-409]* #,##0.00_);_([$$-409]* \(#,##0.00\);_([$$-409]* &quot;-&quot;??_);_(@_)"/>
    <numFmt numFmtId="165" formatCode="0.0"/>
    <numFmt numFmtId="166" formatCode="_([$$-409]* #,##0.00000_);_([$$-409]* \(#,##0.00000\);_([$$-409]* &quot;-&quot;??_);_(@_)"/>
    <numFmt numFmtId="167" formatCode="_([$$-409]* #,##0_);_([$$-409]* \(#,##0\);_([$$-409]* &quot;-&quot;??_);_(@_)"/>
    <numFmt numFmtId="168" formatCode="#,##0.0"/>
    <numFmt numFmtId="169" formatCode="yyyy\.mm\.dd"/>
    <numFmt numFmtId="170" formatCode="hh:mm\.ss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sz val="6"/>
      <name val="Yu Gothic"/>
      <family val="2"/>
      <charset val="128"/>
    </font>
  </fonts>
  <fills count="3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8999908444471571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4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505050"/>
      </left>
      <right style="thin">
        <color rgb="FF505050"/>
      </right>
      <top/>
      <bottom/>
      <diagonal/>
    </border>
    <border>
      <left style="thin">
        <color rgb="FF505050"/>
      </left>
      <right style="thin">
        <color rgb="FF505050"/>
      </right>
      <top/>
      <bottom style="thin">
        <color rgb="FF505050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  <border>
      <left style="thin">
        <color rgb="FF505050"/>
      </left>
      <right style="thin">
        <color rgb="FF000000"/>
      </right>
      <top style="thin">
        <color rgb="FF505050"/>
      </top>
      <bottom style="thin">
        <color rgb="FF505050"/>
      </bottom>
      <diagonal/>
    </border>
    <border>
      <left/>
      <right style="thin">
        <color rgb="FF000000"/>
      </right>
      <top style="thin">
        <color rgb="FF505050"/>
      </top>
      <bottom style="thin">
        <color rgb="FF505050"/>
      </bottom>
      <diagonal/>
    </border>
    <border>
      <left/>
      <right/>
      <top style="thin">
        <color rgb="FF505050"/>
      </top>
      <bottom style="thin">
        <color rgb="FF505050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</cellStyleXfs>
  <cellXfs count="393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4" fillId="0" borderId="0" xfId="0" applyFont="1" applyAlignment="1">
      <alignment vertical="center"/>
    </xf>
    <xf numFmtId="0" fontId="0" fillId="0" borderId="0" xfId="0" applyAlignment="1">
      <alignment vertical="top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top"/>
    </xf>
    <xf numFmtId="164" fontId="0" fillId="0" borderId="0" xfId="0" applyNumberFormat="1" applyAlignment="1">
      <alignment horizontal="center" vertical="top"/>
    </xf>
    <xf numFmtId="1" fontId="0" fillId="0" borderId="0" xfId="0" applyNumberFormat="1" applyAlignment="1">
      <alignment horizontal="center" vertical="top"/>
    </xf>
    <xf numFmtId="0" fontId="0" fillId="9" borderId="2" xfId="0" applyFill="1" applyBorder="1" applyAlignment="1">
      <alignment vertical="top"/>
    </xf>
    <xf numFmtId="167" fontId="0" fillId="9" borderId="2" xfId="0" applyNumberFormat="1" applyFill="1" applyBorder="1" applyAlignment="1">
      <alignment horizontal="center" vertical="top"/>
    </xf>
    <xf numFmtId="165" fontId="0" fillId="9" borderId="2" xfId="0" applyNumberFormat="1" applyFill="1" applyBorder="1" applyAlignment="1">
      <alignment horizontal="center" vertical="top"/>
    </xf>
    <xf numFmtId="166" fontId="0" fillId="9" borderId="2" xfId="0" applyNumberFormat="1" applyFill="1" applyBorder="1" applyAlignment="1">
      <alignment horizontal="center" vertical="top"/>
    </xf>
    <xf numFmtId="164" fontId="0" fillId="9" borderId="2" xfId="0" applyNumberFormat="1" applyFill="1" applyBorder="1" applyAlignment="1">
      <alignment horizontal="center" vertical="top"/>
    </xf>
    <xf numFmtId="0" fontId="0" fillId="9" borderId="3" xfId="0" applyFill="1" applyBorder="1" applyAlignment="1">
      <alignment vertical="top"/>
    </xf>
    <xf numFmtId="167" fontId="0" fillId="9" borderId="3" xfId="0" applyNumberFormat="1" applyFill="1" applyBorder="1" applyAlignment="1">
      <alignment horizontal="center" vertical="top"/>
    </xf>
    <xf numFmtId="165" fontId="0" fillId="9" borderId="3" xfId="0" applyNumberFormat="1" applyFill="1" applyBorder="1" applyAlignment="1">
      <alignment horizontal="center" vertical="top"/>
    </xf>
    <xf numFmtId="166" fontId="0" fillId="9" borderId="3" xfId="0" applyNumberFormat="1" applyFill="1" applyBorder="1" applyAlignment="1">
      <alignment horizontal="center" vertical="top"/>
    </xf>
    <xf numFmtId="164" fontId="0" fillId="9" borderId="3" xfId="0" applyNumberFormat="1" applyFill="1" applyBorder="1" applyAlignment="1">
      <alignment horizontal="center" vertical="top"/>
    </xf>
    <xf numFmtId="0" fontId="0" fillId="9" borderId="3" xfId="0" applyFill="1" applyBorder="1" applyAlignment="1">
      <alignment horizontal="center" vertical="top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10" borderId="0" xfId="0" applyFill="1" applyBorder="1" applyAlignment="1">
      <alignment horizontal="center" vertical="center" wrapText="1"/>
    </xf>
    <xf numFmtId="0" fontId="0" fillId="10" borderId="0" xfId="0" applyFill="1" applyBorder="1" applyAlignment="1">
      <alignment vertical="top"/>
    </xf>
    <xf numFmtId="0" fontId="0" fillId="10" borderId="14" xfId="0" applyFill="1" applyBorder="1" applyAlignment="1">
      <alignment vertical="top"/>
    </xf>
    <xf numFmtId="0" fontId="0" fillId="10" borderId="14" xfId="0" applyFill="1" applyBorder="1" applyAlignment="1">
      <alignment horizontal="center" vertical="top"/>
    </xf>
    <xf numFmtId="0" fontId="0" fillId="10" borderId="16" xfId="0" applyFill="1" applyBorder="1" applyAlignment="1">
      <alignment vertical="top"/>
    </xf>
    <xf numFmtId="0" fontId="0" fillId="11" borderId="2" xfId="0" applyFill="1" applyBorder="1" applyAlignment="1">
      <alignment horizontal="center" vertical="top"/>
    </xf>
    <xf numFmtId="0" fontId="0" fillId="11" borderId="2" xfId="0" applyFill="1" applyBorder="1" applyAlignment="1">
      <alignment vertical="top"/>
    </xf>
    <xf numFmtId="0" fontId="0" fillId="11" borderId="3" xfId="0" applyFill="1" applyBorder="1" applyAlignment="1">
      <alignment horizontal="center" vertical="top"/>
    </xf>
    <xf numFmtId="0" fontId="0" fillId="11" borderId="3" xfId="0" applyFill="1" applyBorder="1" applyAlignment="1">
      <alignment vertical="top"/>
    </xf>
    <xf numFmtId="0" fontId="0" fillId="11" borderId="13" xfId="0" applyFill="1" applyBorder="1" applyAlignment="1">
      <alignment horizontal="center" vertical="top"/>
    </xf>
    <xf numFmtId="0" fontId="0" fillId="11" borderId="13" xfId="0" applyFill="1" applyBorder="1" applyAlignment="1">
      <alignment vertical="top"/>
    </xf>
    <xf numFmtId="164" fontId="0" fillId="6" borderId="2" xfId="0" applyNumberFormat="1" applyFill="1" applyBorder="1" applyAlignment="1">
      <alignment vertical="top"/>
    </xf>
    <xf numFmtId="0" fontId="0" fillId="6" borderId="2" xfId="0" applyFill="1" applyBorder="1" applyAlignment="1">
      <alignment vertical="top"/>
    </xf>
    <xf numFmtId="164" fontId="0" fillId="6" borderId="3" xfId="0" applyNumberFormat="1" applyFill="1" applyBorder="1" applyAlignment="1">
      <alignment vertical="top"/>
    </xf>
    <xf numFmtId="0" fontId="0" fillId="6" borderId="3" xfId="0" applyFill="1" applyBorder="1" applyAlignment="1">
      <alignment vertical="top"/>
    </xf>
    <xf numFmtId="164" fontId="0" fillId="6" borderId="13" xfId="0" applyNumberFormat="1" applyFill="1" applyBorder="1" applyAlignment="1">
      <alignment vertical="top"/>
    </xf>
    <xf numFmtId="0" fontId="0" fillId="6" borderId="13" xfId="0" applyFill="1" applyBorder="1" applyAlignment="1">
      <alignment vertical="top"/>
    </xf>
    <xf numFmtId="10" fontId="0" fillId="7" borderId="2" xfId="0" applyNumberFormat="1" applyFill="1" applyBorder="1" applyAlignment="1">
      <alignment vertical="top"/>
    </xf>
    <xf numFmtId="164" fontId="0" fillId="7" borderId="2" xfId="0" applyNumberFormat="1" applyFill="1" applyBorder="1" applyAlignment="1">
      <alignment vertical="top"/>
    </xf>
    <xf numFmtId="10" fontId="0" fillId="7" borderId="3" xfId="0" applyNumberFormat="1" applyFill="1" applyBorder="1" applyAlignment="1">
      <alignment vertical="top"/>
    </xf>
    <xf numFmtId="164" fontId="0" fillId="7" borderId="3" xfId="0" applyNumberFormat="1" applyFill="1" applyBorder="1" applyAlignment="1">
      <alignment vertical="top"/>
    </xf>
    <xf numFmtId="0" fontId="0" fillId="7" borderId="3" xfId="0" applyFill="1" applyBorder="1" applyAlignment="1">
      <alignment vertical="top"/>
    </xf>
    <xf numFmtId="10" fontId="0" fillId="7" borderId="13" xfId="0" applyNumberFormat="1" applyFill="1" applyBorder="1" applyAlignment="1">
      <alignment vertical="top"/>
    </xf>
    <xf numFmtId="164" fontId="0" fillId="7" borderId="13" xfId="0" applyNumberFormat="1" applyFill="1" applyBorder="1" applyAlignment="1">
      <alignment vertical="top"/>
    </xf>
    <xf numFmtId="0" fontId="0" fillId="7" borderId="13" xfId="0" applyFill="1" applyBorder="1" applyAlignment="1">
      <alignment vertical="top"/>
    </xf>
    <xf numFmtId="0" fontId="0" fillId="12" borderId="0" xfId="0" applyFill="1"/>
    <xf numFmtId="0" fontId="4" fillId="12" borderId="0" xfId="0" applyFont="1" applyFill="1" applyAlignment="1">
      <alignment vertical="center"/>
    </xf>
    <xf numFmtId="0" fontId="1" fillId="0" borderId="2" xfId="0" applyFont="1" applyBorder="1"/>
    <xf numFmtId="0" fontId="1" fillId="12" borderId="2" xfId="0" applyFont="1" applyFill="1" applyBorder="1"/>
    <xf numFmtId="0" fontId="0" fillId="0" borderId="3" xfId="0" applyBorder="1" applyAlignment="1">
      <alignment horizontal="left"/>
    </xf>
    <xf numFmtId="0" fontId="0" fillId="12" borderId="3" xfId="0" applyFill="1" applyBorder="1" applyAlignment="1">
      <alignment horizontal="left"/>
    </xf>
    <xf numFmtId="0" fontId="0" fillId="2" borderId="3" xfId="0" applyFill="1" applyBorder="1"/>
    <xf numFmtId="0" fontId="0" fillId="12" borderId="3" xfId="0" applyFill="1" applyBorder="1"/>
    <xf numFmtId="0" fontId="0" fillId="7" borderId="3" xfId="0" applyFill="1" applyBorder="1"/>
    <xf numFmtId="0" fontId="3" fillId="7" borderId="3" xfId="0" applyFont="1" applyFill="1" applyBorder="1"/>
    <xf numFmtId="0" fontId="3" fillId="12" borderId="3" xfId="0" applyFont="1" applyFill="1" applyBorder="1"/>
    <xf numFmtId="0" fontId="0" fillId="0" borderId="3" xfId="0" applyBorder="1"/>
    <xf numFmtId="0" fontId="0" fillId="3" borderId="3" xfId="0" applyFill="1" applyBorder="1"/>
    <xf numFmtId="0" fontId="0" fillId="4" borderId="3" xfId="0" applyFill="1" applyBorder="1"/>
    <xf numFmtId="0" fontId="0" fillId="5" borderId="3" xfId="0" applyFill="1" applyBorder="1"/>
    <xf numFmtId="0" fontId="0" fillId="6" borderId="3" xfId="0" applyFill="1" applyBorder="1"/>
    <xf numFmtId="0" fontId="0" fillId="8" borderId="3" xfId="0" applyFill="1" applyBorder="1"/>
    <xf numFmtId="42" fontId="0" fillId="6" borderId="3" xfId="0" applyNumberFormat="1" applyFill="1" applyBorder="1" applyAlignment="1">
      <alignment horizontal="left" vertical="center" wrapText="1"/>
    </xf>
    <xf numFmtId="42" fontId="0" fillId="6" borderId="3" xfId="0" applyNumberFormat="1" applyFill="1" applyBorder="1" applyAlignment="1">
      <alignment horizontal="left"/>
    </xf>
    <xf numFmtId="3" fontId="0" fillId="6" borderId="3" xfId="0" applyNumberFormat="1" applyFont="1" applyFill="1" applyBorder="1" applyAlignment="1">
      <alignment horizontal="center" vertical="center" wrapText="1"/>
    </xf>
    <xf numFmtId="0" fontId="0" fillId="6" borderId="3" xfId="0" applyFont="1" applyFill="1" applyBorder="1" applyAlignment="1">
      <alignment horizontal="center" vertical="center" wrapText="1"/>
    </xf>
    <xf numFmtId="0" fontId="0" fillId="10" borderId="17" xfId="0" applyFill="1" applyBorder="1"/>
    <xf numFmtId="0" fontId="0" fillId="10" borderId="20" xfId="0" applyFill="1" applyBorder="1"/>
    <xf numFmtId="0" fontId="0" fillId="10" borderId="20" xfId="0" applyFill="1" applyBorder="1" applyAlignment="1">
      <alignment horizontal="left" vertical="center" wrapText="1"/>
    </xf>
    <xf numFmtId="0" fontId="0" fillId="10" borderId="14" xfId="0" applyFill="1" applyBorder="1"/>
    <xf numFmtId="0" fontId="0" fillId="10" borderId="14" xfId="0" applyFill="1" applyBorder="1" applyAlignment="1">
      <alignment horizontal="left"/>
    </xf>
    <xf numFmtId="0" fontId="0" fillId="10" borderId="16" xfId="0" applyFill="1" applyBorder="1"/>
    <xf numFmtId="0" fontId="0" fillId="10" borderId="18" xfId="0" applyFill="1" applyBorder="1"/>
    <xf numFmtId="4" fontId="0" fillId="6" borderId="3" xfId="0" applyNumberFormat="1" applyFont="1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/>
    </xf>
    <xf numFmtId="165" fontId="0" fillId="0" borderId="3" xfId="0" applyNumberFormat="1" applyFont="1" applyBorder="1" applyAlignment="1">
      <alignment horizontal="center" vertical="center" wrapText="1"/>
    </xf>
    <xf numFmtId="0" fontId="0" fillId="13" borderId="3" xfId="0" applyFill="1" applyBorder="1" applyAlignment="1">
      <alignment horizontal="center"/>
    </xf>
    <xf numFmtId="165" fontId="0" fillId="0" borderId="7" xfId="0" applyNumberFormat="1" applyFont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0" fillId="10" borderId="15" xfId="0" applyFill="1" applyBorder="1"/>
    <xf numFmtId="0" fontId="0" fillId="10" borderId="21" xfId="0" applyFill="1" applyBorder="1"/>
    <xf numFmtId="0" fontId="4" fillId="7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6" fillId="14" borderId="0" xfId="0" applyFont="1" applyFill="1"/>
    <xf numFmtId="0" fontId="1" fillId="14" borderId="6" xfId="0" applyFont="1" applyFill="1" applyBorder="1" applyAlignment="1">
      <alignment vertical="top"/>
    </xf>
    <xf numFmtId="0" fontId="1" fillId="14" borderId="7" xfId="0" applyFont="1" applyFill="1" applyBorder="1" applyAlignment="1">
      <alignment vertical="top"/>
    </xf>
    <xf numFmtId="0" fontId="0" fillId="8" borderId="3" xfId="0" applyFill="1" applyBorder="1" applyAlignment="1">
      <alignment vertical="top"/>
    </xf>
    <xf numFmtId="0" fontId="0" fillId="3" borderId="3" xfId="0" applyFill="1" applyBorder="1" applyAlignment="1">
      <alignment vertical="top"/>
    </xf>
    <xf numFmtId="0" fontId="0" fillId="15" borderId="3" xfId="0" applyFill="1" applyBorder="1" applyAlignment="1">
      <alignment vertical="top"/>
    </xf>
    <xf numFmtId="0" fontId="0" fillId="13" borderId="3" xfId="0" applyFill="1" applyBorder="1" applyAlignment="1">
      <alignment vertical="top"/>
    </xf>
    <xf numFmtId="0" fontId="0" fillId="16" borderId="3" xfId="0" applyFill="1" applyBorder="1" applyAlignment="1">
      <alignment vertical="top"/>
    </xf>
    <xf numFmtId="1" fontId="0" fillId="17" borderId="2" xfId="0" applyNumberFormat="1" applyFill="1" applyBorder="1" applyAlignment="1">
      <alignment horizontal="center" vertical="top"/>
    </xf>
    <xf numFmtId="1" fontId="0" fillId="17" borderId="3" xfId="0" applyNumberFormat="1" applyFill="1" applyBorder="1" applyAlignment="1">
      <alignment horizontal="center" vertical="top"/>
    </xf>
    <xf numFmtId="0" fontId="0" fillId="16" borderId="3" xfId="0" applyFill="1" applyBorder="1" applyAlignment="1">
      <alignment horizontal="center" vertical="top"/>
    </xf>
    <xf numFmtId="165" fontId="0" fillId="16" borderId="3" xfId="0" applyNumberFormat="1" applyFill="1" applyBorder="1" applyAlignment="1">
      <alignment horizontal="center" vertical="top"/>
    </xf>
    <xf numFmtId="164" fontId="0" fillId="16" borderId="3" xfId="0" applyNumberFormat="1" applyFill="1" applyBorder="1" applyAlignment="1">
      <alignment horizontal="center" vertical="top"/>
    </xf>
    <xf numFmtId="0" fontId="0" fillId="13" borderId="3" xfId="0" applyFill="1" applyBorder="1" applyAlignment="1">
      <alignment horizontal="center" vertical="top"/>
    </xf>
    <xf numFmtId="165" fontId="0" fillId="13" borderId="3" xfId="0" applyNumberFormat="1" applyFill="1" applyBorder="1" applyAlignment="1">
      <alignment horizontal="center" vertical="top"/>
    </xf>
    <xf numFmtId="164" fontId="0" fillId="13" borderId="3" xfId="0" applyNumberFormat="1" applyFill="1" applyBorder="1" applyAlignment="1">
      <alignment horizontal="center" vertical="top"/>
    </xf>
    <xf numFmtId="0" fontId="0" fillId="8" borderId="3" xfId="0" applyFill="1" applyBorder="1" applyAlignment="1">
      <alignment horizontal="center" vertical="top"/>
    </xf>
    <xf numFmtId="165" fontId="0" fillId="8" borderId="3" xfId="0" applyNumberFormat="1" applyFill="1" applyBorder="1" applyAlignment="1">
      <alignment horizontal="center" vertical="top"/>
    </xf>
    <xf numFmtId="164" fontId="0" fillId="8" borderId="3" xfId="0" applyNumberFormat="1" applyFill="1" applyBorder="1" applyAlignment="1">
      <alignment horizontal="center" vertical="top"/>
    </xf>
    <xf numFmtId="0" fontId="0" fillId="6" borderId="3" xfId="0" applyFill="1" applyBorder="1" applyAlignment="1">
      <alignment horizontal="center" vertical="top"/>
    </xf>
    <xf numFmtId="165" fontId="0" fillId="6" borderId="3" xfId="0" applyNumberFormat="1" applyFill="1" applyBorder="1" applyAlignment="1">
      <alignment horizontal="center" vertical="top"/>
    </xf>
    <xf numFmtId="164" fontId="0" fillId="6" borderId="3" xfId="0" applyNumberFormat="1" applyFill="1" applyBorder="1" applyAlignment="1">
      <alignment horizontal="center" vertical="top"/>
    </xf>
    <xf numFmtId="0" fontId="0" fillId="15" borderId="3" xfId="0" applyFill="1" applyBorder="1" applyAlignment="1">
      <alignment horizontal="center" vertical="top"/>
    </xf>
    <xf numFmtId="165" fontId="0" fillId="15" borderId="3" xfId="0" applyNumberFormat="1" applyFill="1" applyBorder="1" applyAlignment="1">
      <alignment horizontal="center" vertical="top"/>
    </xf>
    <xf numFmtId="164" fontId="0" fillId="15" borderId="3" xfId="0" applyNumberFormat="1" applyFill="1" applyBorder="1" applyAlignment="1">
      <alignment horizontal="center" vertical="top"/>
    </xf>
    <xf numFmtId="0" fontId="0" fillId="3" borderId="3" xfId="0" applyFill="1" applyBorder="1" applyAlignment="1">
      <alignment horizontal="center" vertical="top"/>
    </xf>
    <xf numFmtId="165" fontId="0" fillId="3" borderId="3" xfId="0" applyNumberFormat="1" applyFill="1" applyBorder="1" applyAlignment="1">
      <alignment horizontal="center" vertical="top"/>
    </xf>
    <xf numFmtId="164" fontId="0" fillId="3" borderId="3" xfId="0" applyNumberFormat="1" applyFill="1" applyBorder="1" applyAlignment="1">
      <alignment horizontal="center" vertical="top"/>
    </xf>
    <xf numFmtId="0" fontId="0" fillId="18" borderId="3" xfId="0" applyFill="1" applyBorder="1" applyAlignment="1">
      <alignment vertical="top"/>
    </xf>
    <xf numFmtId="0" fontId="0" fillId="18" borderId="3" xfId="0" applyFill="1" applyBorder="1" applyAlignment="1">
      <alignment horizontal="center" vertical="top"/>
    </xf>
    <xf numFmtId="165" fontId="0" fillId="18" borderId="3" xfId="0" applyNumberFormat="1" applyFill="1" applyBorder="1" applyAlignment="1">
      <alignment horizontal="center" vertical="top"/>
    </xf>
    <xf numFmtId="164" fontId="0" fillId="18" borderId="3" xfId="0" applyNumberFormat="1" applyFill="1" applyBorder="1" applyAlignment="1">
      <alignment horizontal="center" vertical="top"/>
    </xf>
    <xf numFmtId="1" fontId="0" fillId="8" borderId="22" xfId="0" applyNumberFormat="1" applyFill="1" applyBorder="1" applyAlignment="1">
      <alignment horizontal="center" vertical="center"/>
    </xf>
    <xf numFmtId="0" fontId="0" fillId="8" borderId="22" xfId="0" applyFill="1" applyBorder="1" applyAlignment="1">
      <alignment horizontal="center" vertical="center"/>
    </xf>
    <xf numFmtId="164" fontId="0" fillId="8" borderId="22" xfId="0" applyNumberFormat="1" applyFill="1" applyBorder="1" applyAlignment="1">
      <alignment horizontal="center" vertical="center"/>
    </xf>
    <xf numFmtId="164" fontId="0" fillId="8" borderId="10" xfId="0" applyNumberFormat="1" applyFill="1" applyBorder="1" applyAlignment="1">
      <alignment horizontal="center" vertical="center"/>
    </xf>
    <xf numFmtId="1" fontId="0" fillId="3" borderId="22" xfId="0" applyNumberFormat="1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164" fontId="0" fillId="3" borderId="22" xfId="0" applyNumberFormat="1" applyFill="1" applyBorder="1" applyAlignment="1">
      <alignment horizontal="center" vertical="center"/>
    </xf>
    <xf numFmtId="164" fontId="0" fillId="3" borderId="10" xfId="0" applyNumberFormat="1" applyFill="1" applyBorder="1" applyAlignment="1">
      <alignment horizontal="center" vertical="center"/>
    </xf>
    <xf numFmtId="1" fontId="0" fillId="0" borderId="22" xfId="0" applyNumberFormat="1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164" fontId="0" fillId="0" borderId="22" xfId="0" applyNumberFormat="1" applyFill="1" applyBorder="1" applyAlignment="1">
      <alignment horizontal="center" vertical="center"/>
    </xf>
    <xf numFmtId="164" fontId="0" fillId="0" borderId="10" xfId="0" applyNumberFormat="1" applyFill="1" applyBorder="1" applyAlignment="1">
      <alignment horizontal="center" vertical="center"/>
    </xf>
    <xf numFmtId="1" fontId="0" fillId="11" borderId="19" xfId="0" applyNumberFormat="1" applyFill="1" applyBorder="1" applyAlignment="1">
      <alignment horizontal="center" vertical="center"/>
    </xf>
    <xf numFmtId="0" fontId="0" fillId="11" borderId="19" xfId="0" applyFill="1" applyBorder="1" applyAlignment="1">
      <alignment horizontal="center" vertical="center"/>
    </xf>
    <xf numFmtId="164" fontId="0" fillId="11" borderId="19" xfId="0" applyNumberFormat="1" applyFill="1" applyBorder="1" applyAlignment="1">
      <alignment horizontal="center" vertical="center"/>
    </xf>
    <xf numFmtId="164" fontId="0" fillId="11" borderId="11" xfId="0" applyNumberFormat="1" applyFill="1" applyBorder="1" applyAlignment="1">
      <alignment horizontal="center" vertical="center"/>
    </xf>
    <xf numFmtId="0" fontId="0" fillId="10" borderId="21" xfId="0" applyFill="1" applyBorder="1" applyAlignment="1">
      <alignment vertical="top"/>
    </xf>
    <xf numFmtId="0" fontId="0" fillId="10" borderId="20" xfId="0" applyFill="1" applyBorder="1" applyAlignment="1">
      <alignment vertical="top"/>
    </xf>
    <xf numFmtId="0" fontId="0" fillId="10" borderId="25" xfId="0" applyFill="1" applyBorder="1" applyAlignment="1">
      <alignment horizontal="center" vertical="center" wrapText="1"/>
    </xf>
    <xf numFmtId="0" fontId="0" fillId="0" borderId="0" xfId="0" applyFill="1" applyBorder="1" applyAlignment="1">
      <alignment vertical="top"/>
    </xf>
    <xf numFmtId="0" fontId="0" fillId="0" borderId="0" xfId="0" applyFill="1" applyBorder="1" applyAlignment="1">
      <alignment horizontal="center" vertical="top"/>
    </xf>
    <xf numFmtId="0" fontId="0" fillId="10" borderId="18" xfId="0" applyFill="1" applyBorder="1" applyAlignment="1">
      <alignment vertical="top"/>
    </xf>
    <xf numFmtId="0" fontId="0" fillId="0" borderId="3" xfId="0" applyFill="1" applyBorder="1" applyAlignment="1">
      <alignment vertical="top"/>
    </xf>
    <xf numFmtId="0" fontId="1" fillId="10" borderId="5" xfId="0" applyFont="1" applyFill="1" applyBorder="1" applyAlignment="1">
      <alignment horizontal="center"/>
    </xf>
    <xf numFmtId="10" fontId="8" fillId="6" borderId="9" xfId="0" applyNumberFormat="1" applyFont="1" applyFill="1" applyBorder="1" applyAlignment="1">
      <alignment vertical="top"/>
    </xf>
    <xf numFmtId="10" fontId="8" fillId="6" borderId="10" xfId="0" applyNumberFormat="1" applyFont="1" applyFill="1" applyBorder="1" applyAlignment="1">
      <alignment vertical="top"/>
    </xf>
    <xf numFmtId="10" fontId="8" fillId="6" borderId="12" xfId="0" applyNumberFormat="1" applyFont="1" applyFill="1" applyBorder="1" applyAlignment="1">
      <alignment vertical="top"/>
    </xf>
    <xf numFmtId="49" fontId="8" fillId="11" borderId="3" xfId="0" applyNumberFormat="1" applyFont="1" applyFill="1" applyBorder="1" applyAlignment="1">
      <alignment horizontal="center" vertical="top"/>
    </xf>
    <xf numFmtId="0" fontId="8" fillId="6" borderId="3" xfId="0" applyFont="1" applyFill="1" applyBorder="1" applyAlignment="1">
      <alignment vertical="top"/>
    </xf>
    <xf numFmtId="1" fontId="0" fillId="3" borderId="26" xfId="0" applyNumberFormat="1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164" fontId="0" fillId="3" borderId="26" xfId="0" applyNumberFormat="1" applyFill="1" applyBorder="1" applyAlignment="1">
      <alignment horizontal="center" vertical="center"/>
    </xf>
    <xf numFmtId="164" fontId="0" fillId="3" borderId="12" xfId="0" applyNumberFormat="1" applyFill="1" applyBorder="1" applyAlignment="1">
      <alignment horizontal="center" vertical="center"/>
    </xf>
    <xf numFmtId="0" fontId="0" fillId="0" borderId="27" xfId="0" applyFill="1" applyBorder="1" applyAlignment="1">
      <alignment vertical="center"/>
    </xf>
    <xf numFmtId="1" fontId="0" fillId="0" borderId="27" xfId="0" applyNumberFormat="1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164" fontId="0" fillId="0" borderId="27" xfId="0" applyNumberFormat="1" applyFill="1" applyBorder="1" applyAlignment="1">
      <alignment horizontal="center" vertical="center"/>
    </xf>
    <xf numFmtId="0" fontId="0" fillId="9" borderId="13" xfId="0" applyFill="1" applyBorder="1" applyAlignment="1">
      <alignment vertical="top"/>
    </xf>
    <xf numFmtId="1" fontId="0" fillId="17" borderId="13" xfId="0" applyNumberFormat="1" applyFill="1" applyBorder="1" applyAlignment="1">
      <alignment horizontal="center" vertical="top"/>
    </xf>
    <xf numFmtId="0" fontId="0" fillId="9" borderId="13" xfId="0" applyFill="1" applyBorder="1" applyAlignment="1">
      <alignment horizontal="center" vertical="top"/>
    </xf>
    <xf numFmtId="164" fontId="0" fillId="9" borderId="13" xfId="0" applyNumberFormat="1" applyFill="1" applyBorder="1" applyAlignment="1">
      <alignment horizontal="center" vertical="top"/>
    </xf>
    <xf numFmtId="1" fontId="0" fillId="6" borderId="29" xfId="0" applyNumberFormat="1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164" fontId="0" fillId="6" borderId="29" xfId="0" applyNumberFormat="1" applyFill="1" applyBorder="1" applyAlignment="1">
      <alignment horizontal="center" vertical="center"/>
    </xf>
    <xf numFmtId="164" fontId="0" fillId="6" borderId="30" xfId="0" applyNumberFormat="1" applyFill="1" applyBorder="1" applyAlignment="1">
      <alignment horizontal="center" vertical="center"/>
    </xf>
    <xf numFmtId="1" fontId="0" fillId="10" borderId="14" xfId="0" applyNumberFormat="1" applyFill="1" applyBorder="1" applyAlignment="1">
      <alignment horizontal="center" vertical="top"/>
    </xf>
    <xf numFmtId="0" fontId="0" fillId="10" borderId="0" xfId="0" applyFill="1" applyAlignment="1">
      <alignment horizontal="center" vertical="top"/>
    </xf>
    <xf numFmtId="0" fontId="0" fillId="10" borderId="18" xfId="0" applyFill="1" applyBorder="1" applyAlignment="1">
      <alignment horizontal="center" vertical="top"/>
    </xf>
    <xf numFmtId="0" fontId="0" fillId="10" borderId="21" xfId="0" applyFill="1" applyBorder="1" applyAlignment="1">
      <alignment horizontal="center" vertical="top"/>
    </xf>
    <xf numFmtId="0" fontId="5" fillId="3" borderId="1" xfId="0" applyFont="1" applyFill="1" applyBorder="1" applyAlignment="1">
      <alignment vertical="center" wrapText="1"/>
    </xf>
    <xf numFmtId="1" fontId="5" fillId="3" borderId="1" xfId="0" applyNumberFormat="1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0" fillId="11" borderId="7" xfId="0" applyFill="1" applyBorder="1" applyAlignment="1">
      <alignment vertical="top"/>
    </xf>
    <xf numFmtId="0" fontId="0" fillId="11" borderId="23" xfId="0" applyFill="1" applyBorder="1" applyAlignment="1">
      <alignment vertical="top"/>
    </xf>
    <xf numFmtId="0" fontId="8" fillId="6" borderId="2" xfId="0" applyFont="1" applyFill="1" applyBorder="1" applyAlignment="1">
      <alignment vertical="top" wrapText="1"/>
    </xf>
    <xf numFmtId="49" fontId="8" fillId="11" borderId="2" xfId="0" applyNumberFormat="1" applyFont="1" applyFill="1" applyBorder="1" applyAlignment="1">
      <alignment horizontal="center" vertical="top"/>
    </xf>
    <xf numFmtId="0" fontId="8" fillId="6" borderId="4" xfId="0" applyFont="1" applyFill="1" applyBorder="1" applyAlignment="1">
      <alignment vertical="top"/>
    </xf>
    <xf numFmtId="49" fontId="8" fillId="11" borderId="4" xfId="0" applyNumberFormat="1" applyFont="1" applyFill="1" applyBorder="1" applyAlignment="1">
      <alignment horizontal="center" vertical="top"/>
    </xf>
    <xf numFmtId="0" fontId="0" fillId="11" borderId="4" xfId="0" applyFill="1" applyBorder="1" applyAlignment="1">
      <alignment vertical="top"/>
    </xf>
    <xf numFmtId="0" fontId="0" fillId="10" borderId="18" xfId="0" applyFill="1" applyBorder="1" applyAlignment="1">
      <alignment horizontal="left" vertical="center" wrapText="1"/>
    </xf>
    <xf numFmtId="44" fontId="1" fillId="0" borderId="6" xfId="3" applyFont="1" applyBorder="1" applyAlignment="1">
      <alignment horizontal="center" vertical="center" wrapText="1"/>
    </xf>
    <xf numFmtId="44" fontId="0" fillId="0" borderId="7" xfId="3" applyFont="1" applyBorder="1" applyAlignment="1">
      <alignment horizontal="center" vertical="center" wrapText="1"/>
    </xf>
    <xf numFmtId="0" fontId="0" fillId="10" borderId="15" xfId="0" applyFill="1" applyBorder="1" applyAlignment="1">
      <alignment horizontal="left" vertical="center" wrapText="1"/>
    </xf>
    <xf numFmtId="0" fontId="1" fillId="7" borderId="25" xfId="0" applyFont="1" applyFill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7" xfId="0" applyFont="1" applyBorder="1" applyAlignment="1">
      <alignment horizontal="center" vertical="center" wrapText="1"/>
    </xf>
    <xf numFmtId="44" fontId="1" fillId="0" borderId="31" xfId="3" applyFont="1" applyBorder="1" applyAlignment="1">
      <alignment horizontal="center" vertical="center" wrapText="1"/>
    </xf>
    <xf numFmtId="0" fontId="0" fillId="11" borderId="24" xfId="0" applyFill="1" applyBorder="1" applyAlignment="1">
      <alignment horizontal="center"/>
    </xf>
    <xf numFmtId="44" fontId="0" fillId="0" borderId="28" xfId="3" applyFont="1" applyBorder="1" applyAlignment="1">
      <alignment horizontal="center" vertical="center" wrapText="1"/>
    </xf>
    <xf numFmtId="0" fontId="0" fillId="11" borderId="0" xfId="0" applyFont="1" applyFill="1" applyBorder="1" applyAlignment="1">
      <alignment horizontal="left" vertical="center" wrapText="1"/>
    </xf>
    <xf numFmtId="0" fontId="0" fillId="11" borderId="0" xfId="0" applyFont="1" applyFill="1" applyBorder="1" applyAlignment="1">
      <alignment horizontal="centerContinuous" vertical="center" wrapText="1"/>
    </xf>
    <xf numFmtId="0" fontId="0" fillId="11" borderId="31" xfId="0" applyFont="1" applyFill="1" applyBorder="1" applyAlignment="1">
      <alignment horizontal="left" vertical="center" wrapText="1"/>
    </xf>
    <xf numFmtId="0" fontId="0" fillId="11" borderId="27" xfId="0" applyFill="1" applyBorder="1" applyAlignment="1">
      <alignment horizontal="left" vertical="center" wrapText="1"/>
    </xf>
    <xf numFmtId="0" fontId="0" fillId="11" borderId="27" xfId="0" applyFont="1" applyFill="1" applyBorder="1" applyAlignment="1">
      <alignment horizontal="left" vertical="center" wrapText="1"/>
    </xf>
    <xf numFmtId="44" fontId="0" fillId="11" borderId="25" xfId="3" applyFont="1" applyFill="1" applyBorder="1" applyAlignment="1">
      <alignment horizontal="left" vertical="center" wrapText="1"/>
    </xf>
    <xf numFmtId="0" fontId="0" fillId="11" borderId="15" xfId="0" applyFont="1" applyFill="1" applyBorder="1" applyAlignment="1">
      <alignment horizontal="left" vertical="center" wrapText="1"/>
    </xf>
    <xf numFmtId="44" fontId="0" fillId="11" borderId="21" xfId="3" applyFont="1" applyFill="1" applyBorder="1" applyAlignment="1">
      <alignment horizontal="left" vertical="center" wrapText="1"/>
    </xf>
    <xf numFmtId="0" fontId="0" fillId="11" borderId="15" xfId="0" applyFont="1" applyFill="1" applyBorder="1" applyAlignment="1">
      <alignment horizontal="centerContinuous" vertical="center" wrapText="1"/>
    </xf>
    <xf numFmtId="44" fontId="0" fillId="11" borderId="21" xfId="3" applyFont="1" applyFill="1" applyBorder="1" applyAlignment="1">
      <alignment horizontal="center" vertical="center" wrapText="1"/>
    </xf>
    <xf numFmtId="0" fontId="0" fillId="11" borderId="32" xfId="0" applyFont="1" applyFill="1" applyBorder="1" applyAlignment="1">
      <alignment horizontal="centerContinuous" vertical="center" wrapText="1"/>
    </xf>
    <xf numFmtId="0" fontId="0" fillId="11" borderId="18" xfId="0" applyFont="1" applyFill="1" applyBorder="1" applyAlignment="1">
      <alignment horizontal="centerContinuous" vertical="center" wrapText="1"/>
    </xf>
    <xf numFmtId="44" fontId="0" fillId="11" borderId="16" xfId="3" applyFont="1" applyFill="1" applyBorder="1" applyAlignment="1">
      <alignment horizontal="center" vertical="center" wrapText="1"/>
    </xf>
    <xf numFmtId="0" fontId="0" fillId="10" borderId="18" xfId="0" applyFill="1" applyBorder="1" applyAlignment="1">
      <alignment horizontal="left"/>
    </xf>
    <xf numFmtId="3" fontId="0" fillId="0" borderId="0" xfId="0" applyNumberFormat="1" applyAlignment="1">
      <alignment horizontal="center" vertical="center" wrapText="1"/>
    </xf>
    <xf numFmtId="3" fontId="1" fillId="0" borderId="6" xfId="4" applyNumberFormat="1" applyFont="1" applyBorder="1" applyAlignment="1">
      <alignment horizontal="center" vertical="center" wrapText="1"/>
    </xf>
    <xf numFmtId="3" fontId="0" fillId="11" borderId="3" xfId="4" applyNumberFormat="1" applyFont="1" applyFill="1" applyBorder="1" applyAlignment="1">
      <alignment horizontal="center"/>
    </xf>
    <xf numFmtId="3" fontId="0" fillId="10" borderId="14" xfId="0" applyNumberFormat="1" applyFill="1" applyBorder="1" applyAlignment="1">
      <alignment horizontal="left" vertical="center" wrapText="1"/>
    </xf>
    <xf numFmtId="3" fontId="0" fillId="0" borderId="0" xfId="0" applyNumberFormat="1" applyAlignment="1">
      <alignment horizontal="left" vertical="center" wrapText="1"/>
    </xf>
    <xf numFmtId="42" fontId="0" fillId="6" borderId="24" xfId="0" applyNumberFormat="1" applyFill="1" applyBorder="1" applyAlignment="1">
      <alignment horizontal="left"/>
    </xf>
    <xf numFmtId="3" fontId="0" fillId="11" borderId="24" xfId="4" applyNumberFormat="1" applyFont="1" applyFill="1" applyBorder="1" applyAlignment="1">
      <alignment horizontal="center"/>
    </xf>
    <xf numFmtId="0" fontId="0" fillId="11" borderId="32" xfId="0" applyFont="1" applyFill="1" applyBorder="1" applyAlignment="1">
      <alignment horizontal="left" vertical="center" wrapText="1"/>
    </xf>
    <xf numFmtId="0" fontId="0" fillId="11" borderId="18" xfId="0" applyFont="1" applyFill="1" applyBorder="1" applyAlignment="1">
      <alignment horizontal="left" vertical="center" wrapText="1"/>
    </xf>
    <xf numFmtId="44" fontId="0" fillId="11" borderId="16" xfId="3" applyFont="1" applyFill="1" applyBorder="1" applyAlignment="1">
      <alignment horizontal="left" vertical="center" wrapText="1"/>
    </xf>
    <xf numFmtId="42" fontId="0" fillId="7" borderId="3" xfId="0" applyNumberFormat="1" applyFill="1" applyBorder="1" applyAlignment="1">
      <alignment horizontal="left" vertical="center" wrapText="1"/>
    </xf>
    <xf numFmtId="44" fontId="0" fillId="0" borderId="3" xfId="3" applyFont="1" applyBorder="1" applyAlignment="1">
      <alignment horizontal="center" vertical="center" wrapText="1"/>
    </xf>
    <xf numFmtId="42" fontId="0" fillId="7" borderId="3" xfId="0" applyNumberFormat="1" applyFill="1" applyBorder="1" applyAlignment="1">
      <alignment horizontal="left"/>
    </xf>
    <xf numFmtId="0" fontId="0" fillId="7" borderId="3" xfId="0" applyFont="1" applyFill="1" applyBorder="1" applyAlignment="1">
      <alignment horizontal="center" vertical="center" wrapText="1"/>
    </xf>
    <xf numFmtId="37" fontId="0" fillId="7" borderId="3" xfId="2" applyNumberFormat="1" applyFont="1" applyFill="1" applyBorder="1" applyAlignment="1">
      <alignment horizontal="center" vertical="center" wrapText="1"/>
    </xf>
    <xf numFmtId="0" fontId="0" fillId="6" borderId="29" xfId="0" applyFill="1" applyBorder="1" applyAlignment="1">
      <alignment vertical="center"/>
    </xf>
    <xf numFmtId="0" fontId="0" fillId="8" borderId="22" xfId="0" applyFill="1" applyBorder="1" applyAlignment="1">
      <alignment vertical="center"/>
    </xf>
    <xf numFmtId="0" fontId="0" fillId="3" borderId="22" xfId="0" applyFill="1" applyBorder="1" applyAlignment="1">
      <alignment vertical="center"/>
    </xf>
    <xf numFmtId="0" fontId="0" fillId="0" borderId="22" xfId="0" applyFill="1" applyBorder="1" applyAlignment="1">
      <alignment vertical="center"/>
    </xf>
    <xf numFmtId="0" fontId="0" fillId="11" borderId="19" xfId="0" applyFill="1" applyBorder="1" applyAlignment="1">
      <alignment vertical="center"/>
    </xf>
    <xf numFmtId="0" fontId="0" fillId="3" borderId="26" xfId="0" applyFill="1" applyBorder="1" applyAlignment="1">
      <alignment vertical="center"/>
    </xf>
    <xf numFmtId="0" fontId="5" fillId="3" borderId="17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vertical="center"/>
    </xf>
    <xf numFmtId="0" fontId="0" fillId="0" borderId="27" xfId="0" applyBorder="1" applyAlignment="1">
      <alignment horizontal="center" vertical="top"/>
    </xf>
    <xf numFmtId="0" fontId="0" fillId="0" borderId="21" xfId="0" applyFill="1" applyBorder="1" applyAlignment="1">
      <alignment vertical="center"/>
    </xf>
    <xf numFmtId="0" fontId="0" fillId="0" borderId="27" xfId="0" applyFill="1" applyBorder="1" applyAlignment="1">
      <alignment horizontal="center" vertical="top"/>
    </xf>
    <xf numFmtId="0" fontId="0" fillId="0" borderId="25" xfId="0" applyFill="1" applyBorder="1" applyAlignment="1">
      <alignment horizontal="center" vertical="top"/>
    </xf>
    <xf numFmtId="0" fontId="10" fillId="10" borderId="31" xfId="0" applyFont="1" applyFill="1" applyBorder="1" applyAlignment="1">
      <alignment horizontal="center" vertical="center" wrapText="1"/>
    </xf>
    <xf numFmtId="0" fontId="10" fillId="10" borderId="0" xfId="0" applyFont="1" applyFill="1" applyBorder="1" applyAlignment="1">
      <alignment horizontal="center" vertical="top"/>
    </xf>
    <xf numFmtId="0" fontId="10" fillId="10" borderId="0" xfId="0" applyFont="1" applyFill="1" applyAlignment="1">
      <alignment horizontal="center" vertical="top"/>
    </xf>
    <xf numFmtId="0" fontId="10" fillId="10" borderId="18" xfId="0" applyFont="1" applyFill="1" applyBorder="1" applyAlignment="1">
      <alignment horizontal="center" vertical="top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10" fillId="0" borderId="27" xfId="0" applyFont="1" applyBorder="1" applyAlignment="1">
      <alignment horizontal="center" vertical="top"/>
    </xf>
    <xf numFmtId="0" fontId="10" fillId="0" borderId="0" xfId="0" applyFont="1" applyBorder="1" applyAlignment="1">
      <alignment horizontal="center" vertical="top"/>
    </xf>
    <xf numFmtId="0" fontId="5" fillId="3" borderId="1" xfId="0" applyFont="1" applyFill="1" applyBorder="1" applyAlignment="1">
      <alignment vertical="center"/>
    </xf>
    <xf numFmtId="0" fontId="0" fillId="9" borderId="3" xfId="0" applyFill="1" applyBorder="1" applyAlignment="1">
      <alignment vertical="top" wrapText="1"/>
    </xf>
    <xf numFmtId="0" fontId="5" fillId="0" borderId="0" xfId="0" applyNumberFormat="1" applyFont="1" applyAlignment="1" applyProtection="1">
      <alignment horizontal="center" vertical="center"/>
      <protection locked="0"/>
    </xf>
    <xf numFmtId="0" fontId="5" fillId="0" borderId="17" xfId="0" applyFont="1" applyBorder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vertical="center"/>
      <protection locked="0"/>
    </xf>
    <xf numFmtId="49" fontId="0" fillId="19" borderId="2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49" fontId="0" fillId="0" borderId="3" xfId="0" applyNumberFormat="1" applyFont="1" applyBorder="1" applyAlignment="1" applyProtection="1">
      <alignment vertical="center"/>
      <protection locked="0"/>
    </xf>
    <xf numFmtId="0" fontId="0" fillId="0" borderId="13" xfId="0" applyBorder="1" applyAlignment="1" applyProtection="1">
      <alignment horizontal="left" vertical="center" indent="1"/>
      <protection locked="0"/>
    </xf>
    <xf numFmtId="0" fontId="0" fillId="0" borderId="4" xfId="0" applyBorder="1" applyAlignment="1" applyProtection="1">
      <alignment horizontal="left" vertical="center" indent="1"/>
      <protection locked="0"/>
    </xf>
    <xf numFmtId="0" fontId="0" fillId="0" borderId="3" xfId="0" applyBorder="1" applyAlignment="1" applyProtection="1">
      <alignment vertical="center"/>
      <protection locked="0"/>
    </xf>
    <xf numFmtId="49" fontId="0" fillId="0" borderId="3" xfId="0" applyNumberFormat="1" applyBorder="1" applyAlignment="1" applyProtection="1">
      <alignment vertical="center"/>
      <protection locked="0"/>
    </xf>
    <xf numFmtId="49" fontId="0" fillId="0" borderId="4" xfId="0" applyNumberFormat="1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49" fontId="0" fillId="0" borderId="2" xfId="0" applyNumberFormat="1" applyBorder="1" applyAlignment="1" applyProtection="1">
      <alignment vertical="center" wrapText="1"/>
      <protection locked="0"/>
    </xf>
    <xf numFmtId="0" fontId="0" fillId="0" borderId="24" xfId="0" applyBorder="1" applyAlignment="1" applyProtection="1">
      <alignment vertical="center" wrapText="1"/>
      <protection locked="0"/>
    </xf>
    <xf numFmtId="167" fontId="0" fillId="0" borderId="24" xfId="0" applyNumberFormat="1" applyBorder="1" applyAlignment="1" applyProtection="1">
      <alignment vertical="center"/>
      <protection locked="0"/>
    </xf>
    <xf numFmtId="0" fontId="0" fillId="0" borderId="3" xfId="0" applyBorder="1" applyAlignment="1" applyProtection="1">
      <alignment horizontal="left" vertical="center" indent="1"/>
      <protection locked="0"/>
    </xf>
    <xf numFmtId="0" fontId="0" fillId="0" borderId="4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horizontal="left" vertical="center" wrapText="1" indent="1"/>
      <protection locked="0"/>
    </xf>
    <xf numFmtId="0" fontId="0" fillId="0" borderId="3" xfId="0" applyNumberFormat="1" applyBorder="1" applyAlignment="1" applyProtection="1">
      <alignment vertical="center"/>
      <protection locked="0"/>
    </xf>
    <xf numFmtId="49" fontId="0" fillId="0" borderId="2" xfId="0" applyNumberFormat="1" applyBorder="1" applyAlignment="1" applyProtection="1">
      <alignment vertical="center"/>
      <protection locked="0"/>
    </xf>
    <xf numFmtId="0" fontId="0" fillId="0" borderId="3" xfId="0" applyFont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 wrapText="1"/>
      <protection locked="0"/>
    </xf>
    <xf numFmtId="0" fontId="1" fillId="0" borderId="0" xfId="0" applyFont="1" applyAlignment="1" applyProtection="1">
      <alignment vertical="center"/>
      <protection locked="0"/>
    </xf>
    <xf numFmtId="49" fontId="0" fillId="0" borderId="13" xfId="0" applyNumberFormat="1" applyBorder="1" applyAlignment="1" applyProtection="1">
      <alignment vertical="center"/>
      <protection locked="0"/>
    </xf>
    <xf numFmtId="3" fontId="0" fillId="0" borderId="13" xfId="0" applyNumberFormat="1" applyBorder="1" applyAlignment="1" applyProtection="1">
      <alignment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49" fontId="0" fillId="0" borderId="24" xfId="0" applyNumberFormat="1" applyFont="1" applyBorder="1" applyAlignment="1" applyProtection="1">
      <alignment vertical="center"/>
      <protection locked="0"/>
    </xf>
    <xf numFmtId="0" fontId="1" fillId="0" borderId="0" xfId="0" applyFont="1" applyBorder="1" applyAlignment="1" applyProtection="1">
      <alignment vertical="center"/>
      <protection locked="0"/>
    </xf>
    <xf numFmtId="49" fontId="0" fillId="19" borderId="24" xfId="0" applyNumberFormat="1" applyFill="1" applyBorder="1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  <xf numFmtId="2" fontId="0" fillId="0" borderId="3" xfId="0" applyNumberFormat="1" applyFont="1" applyBorder="1" applyAlignment="1" applyProtection="1">
      <alignment vertical="center"/>
      <protection locked="0"/>
    </xf>
    <xf numFmtId="49" fontId="0" fillId="0" borderId="2" xfId="0" applyNumberFormat="1" applyFont="1" applyBorder="1" applyAlignment="1" applyProtection="1">
      <alignment vertical="center"/>
      <protection locked="0"/>
    </xf>
    <xf numFmtId="0" fontId="0" fillId="0" borderId="21" xfId="0" applyNumberFormat="1" applyBorder="1" applyAlignment="1" applyProtection="1">
      <alignment horizontal="center" vertical="center"/>
      <protection locked="0"/>
    </xf>
    <xf numFmtId="49" fontId="0" fillId="0" borderId="4" xfId="0" applyNumberFormat="1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8" fontId="7" fillId="0" borderId="0" xfId="1" applyNumberFormat="1" applyFont="1" applyBorder="1" applyAlignment="1">
      <alignment horizontal="center" vertical="top"/>
    </xf>
    <xf numFmtId="0" fontId="0" fillId="0" borderId="0" xfId="0" applyFont="1" applyFill="1" applyBorder="1" applyAlignment="1">
      <alignment horizontal="center" vertical="top"/>
    </xf>
    <xf numFmtId="0" fontId="1" fillId="0" borderId="0" xfId="0" applyFont="1" applyFill="1" applyBorder="1" applyAlignment="1">
      <alignment horizontal="center" vertical="top"/>
    </xf>
    <xf numFmtId="0" fontId="7" fillId="0" borderId="0" xfId="0" applyFont="1" applyFill="1" applyBorder="1" applyAlignment="1">
      <alignment horizontal="center" vertical="top"/>
    </xf>
    <xf numFmtId="169" fontId="7" fillId="0" borderId="0" xfId="0" applyNumberFormat="1" applyFont="1" applyFill="1" applyBorder="1" applyAlignment="1">
      <alignment horizontal="center" vertical="top"/>
    </xf>
    <xf numFmtId="0" fontId="0" fillId="0" borderId="0" xfId="0" applyBorder="1" applyAlignment="1">
      <alignment vertical="top"/>
    </xf>
    <xf numFmtId="0" fontId="7" fillId="0" borderId="0" xfId="1" applyFont="1" applyFill="1" applyBorder="1" applyAlignment="1">
      <alignment horizontal="center" vertical="top"/>
    </xf>
    <xf numFmtId="49" fontId="7" fillId="0" borderId="0" xfId="1" applyNumberFormat="1" applyFont="1" applyFill="1" applyBorder="1" applyAlignment="1">
      <alignment horizontal="left" vertical="top"/>
    </xf>
    <xf numFmtId="49" fontId="7" fillId="0" borderId="0" xfId="1" applyNumberFormat="1" applyFont="1" applyFill="1" applyBorder="1" applyAlignment="1">
      <alignment horizontal="left" vertical="top" shrinkToFit="1"/>
    </xf>
    <xf numFmtId="169" fontId="7" fillId="0" borderId="0" xfId="1" applyNumberFormat="1" applyFont="1" applyFill="1" applyBorder="1" applyAlignment="1">
      <alignment horizontal="center" vertical="top"/>
    </xf>
    <xf numFmtId="1" fontId="7" fillId="0" borderId="0" xfId="1" applyNumberFormat="1" applyFont="1" applyFill="1" applyBorder="1" applyAlignment="1">
      <alignment horizontal="center" vertical="top"/>
    </xf>
    <xf numFmtId="170" fontId="7" fillId="0" borderId="0" xfId="1" applyNumberFormat="1" applyFont="1" applyFill="1" applyBorder="1" applyAlignment="1">
      <alignment horizontal="center" vertical="top"/>
    </xf>
    <xf numFmtId="49" fontId="7" fillId="0" borderId="0" xfId="0" applyNumberFormat="1" applyFont="1" applyFill="1" applyBorder="1" applyAlignment="1">
      <alignment horizontal="left" vertical="top"/>
    </xf>
    <xf numFmtId="49" fontId="7" fillId="0" borderId="0" xfId="0" applyNumberFormat="1" applyFont="1" applyFill="1" applyBorder="1" applyAlignment="1">
      <alignment horizontal="left" vertical="top" shrinkToFit="1"/>
    </xf>
    <xf numFmtId="1" fontId="7" fillId="0" borderId="0" xfId="0" applyNumberFormat="1" applyFont="1" applyFill="1" applyBorder="1" applyAlignment="1">
      <alignment horizontal="center" vertical="top"/>
    </xf>
    <xf numFmtId="170" fontId="7" fillId="0" borderId="0" xfId="0" applyNumberFormat="1" applyFont="1" applyFill="1" applyBorder="1" applyAlignment="1">
      <alignment horizontal="center" vertical="top"/>
    </xf>
    <xf numFmtId="0" fontId="0" fillId="0" borderId="0" xfId="0" applyFill="1" applyBorder="1" applyAlignment="1">
      <alignment horizontal="right" vertical="top"/>
    </xf>
    <xf numFmtId="0" fontId="0" fillId="0" borderId="0" xfId="0" applyFill="1" applyBorder="1" applyAlignment="1">
      <alignment horizontal="left" vertical="top"/>
    </xf>
    <xf numFmtId="0" fontId="0" fillId="0" borderId="0" xfId="0" applyBorder="1"/>
    <xf numFmtId="0" fontId="0" fillId="0" borderId="0" xfId="0" applyBorder="1" applyAlignment="1">
      <alignment horizontal="right" vertical="top"/>
    </xf>
    <xf numFmtId="0" fontId="0" fillId="0" borderId="0" xfId="0" applyBorder="1" applyAlignment="1">
      <alignment horizontal="left" vertical="top"/>
    </xf>
    <xf numFmtId="0" fontId="2" fillId="0" borderId="0" xfId="1" applyBorder="1" applyAlignment="1">
      <alignment vertical="top"/>
    </xf>
    <xf numFmtId="0" fontId="1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top"/>
    </xf>
    <xf numFmtId="0" fontId="7" fillId="0" borderId="0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vertical="top"/>
    </xf>
    <xf numFmtId="0" fontId="4" fillId="0" borderId="0" xfId="0" applyFont="1" applyFill="1" applyBorder="1" applyAlignment="1">
      <alignment horizontal="center" vertical="top"/>
    </xf>
    <xf numFmtId="44" fontId="0" fillId="0" borderId="0" xfId="0" applyNumberFormat="1" applyFill="1" applyBorder="1"/>
    <xf numFmtId="0" fontId="2" fillId="0" borderId="0" xfId="1" applyFill="1" applyBorder="1" applyAlignment="1">
      <alignment vertical="top"/>
    </xf>
    <xf numFmtId="168" fontId="7" fillId="0" borderId="0" xfId="1" applyNumberFormat="1" applyFont="1" applyFill="1" applyBorder="1" applyAlignment="1">
      <alignment horizontal="center" vertical="top"/>
    </xf>
    <xf numFmtId="168" fontId="7" fillId="0" borderId="0" xfId="0" applyNumberFormat="1" applyFont="1" applyFill="1" applyBorder="1" applyAlignment="1">
      <alignment horizontal="center" vertical="top"/>
    </xf>
    <xf numFmtId="49" fontId="0" fillId="0" borderId="0" xfId="0" applyNumberFormat="1" applyFont="1" applyFill="1" applyBorder="1" applyAlignment="1">
      <alignment horizontal="center" vertical="center"/>
    </xf>
    <xf numFmtId="0" fontId="0" fillId="21" borderId="0" xfId="0" applyFill="1" applyAlignment="1">
      <alignment vertical="top"/>
    </xf>
    <xf numFmtId="0" fontId="0" fillId="21" borderId="0" xfId="0" applyFill="1" applyAlignment="1">
      <alignment vertical="center"/>
    </xf>
    <xf numFmtId="0" fontId="0" fillId="0" borderId="0" xfId="0" applyBorder="1" applyAlignment="1">
      <alignment horizontal="center" vertical="top"/>
    </xf>
    <xf numFmtId="0" fontId="4" fillId="0" borderId="0" xfId="0" applyFont="1" applyFill="1" applyBorder="1" applyAlignment="1">
      <alignment horizontal="center" vertical="center" wrapText="1"/>
    </xf>
    <xf numFmtId="0" fontId="2" fillId="0" borderId="0" xfId="1" applyFill="1" applyBorder="1" applyAlignment="1">
      <alignment horizontal="left" vertical="center" indent="1"/>
    </xf>
    <xf numFmtId="0" fontId="0" fillId="0" borderId="0" xfId="0" applyFill="1" applyBorder="1" applyAlignment="1">
      <alignment horizontal="left" vertical="center" indent="1"/>
    </xf>
    <xf numFmtId="0" fontId="0" fillId="24" borderId="0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2" fillId="23" borderId="0" xfId="1" applyFill="1" applyBorder="1" applyAlignment="1">
      <alignment horizontal="center" vertical="center"/>
    </xf>
    <xf numFmtId="0" fontId="2" fillId="21" borderId="0" xfId="1" applyFill="1" applyAlignment="1">
      <alignment vertical="center"/>
    </xf>
    <xf numFmtId="0" fontId="1" fillId="24" borderId="41" xfId="0" applyFont="1" applyFill="1" applyBorder="1" applyAlignment="1">
      <alignment horizontal="center" vertical="center"/>
    </xf>
    <xf numFmtId="0" fontId="1" fillId="23" borderId="41" xfId="0" applyFont="1" applyFill="1" applyBorder="1" applyAlignment="1">
      <alignment horizontal="center" vertical="center"/>
    </xf>
    <xf numFmtId="0" fontId="15" fillId="21" borderId="0" xfId="0" applyFont="1" applyFill="1" applyAlignment="1">
      <alignment horizontal="left" vertical="center" indent="1"/>
    </xf>
    <xf numFmtId="0" fontId="15" fillId="0" borderId="0" xfId="0" applyFont="1" applyFill="1" applyAlignment="1">
      <alignment horizontal="left" vertical="center" indent="1"/>
    </xf>
    <xf numFmtId="0" fontId="14" fillId="21" borderId="0" xfId="0" applyFont="1" applyFill="1" applyAlignment="1">
      <alignment vertical="center" wrapText="1"/>
    </xf>
    <xf numFmtId="0" fontId="14" fillId="21" borderId="0" xfId="0" applyFont="1" applyFill="1" applyAlignment="1">
      <alignment horizontal="left" vertical="center" wrapText="1" indent="1"/>
    </xf>
    <xf numFmtId="0" fontId="14" fillId="24" borderId="33" xfId="0" applyFont="1" applyFill="1" applyBorder="1" applyAlignment="1">
      <alignment horizontal="left" vertical="center" wrapText="1" indent="1"/>
    </xf>
    <xf numFmtId="0" fontId="14" fillId="0" borderId="39" xfId="0" applyFont="1" applyFill="1" applyBorder="1" applyAlignment="1">
      <alignment horizontal="left" vertical="center" wrapText="1" indent="1"/>
    </xf>
    <xf numFmtId="0" fontId="14" fillId="0" borderId="34" xfId="0" applyFont="1" applyFill="1" applyBorder="1" applyAlignment="1">
      <alignment horizontal="left" vertical="center" wrapText="1" indent="1"/>
    </xf>
    <xf numFmtId="0" fontId="14" fillId="24" borderId="35" xfId="0" applyFont="1" applyFill="1" applyBorder="1" applyAlignment="1">
      <alignment horizontal="left" vertical="center" wrapText="1" indent="1"/>
    </xf>
    <xf numFmtId="0" fontId="14" fillId="0" borderId="40" xfId="0" applyFont="1" applyFill="1" applyBorder="1" applyAlignment="1">
      <alignment horizontal="left" vertical="center" wrapText="1" indent="1"/>
    </xf>
    <xf numFmtId="0" fontId="14" fillId="0" borderId="36" xfId="0" applyFont="1" applyFill="1" applyBorder="1" applyAlignment="1">
      <alignment horizontal="left" vertical="center" wrapText="1" indent="1"/>
    </xf>
    <xf numFmtId="0" fontId="14" fillId="22" borderId="35" xfId="0" applyFont="1" applyFill="1" applyBorder="1" applyAlignment="1">
      <alignment horizontal="left" vertical="center" wrapText="1" indent="1"/>
    </xf>
    <xf numFmtId="0" fontId="14" fillId="24" borderId="37" xfId="0" applyFont="1" applyFill="1" applyBorder="1" applyAlignment="1">
      <alignment horizontal="left" vertical="center" wrapText="1" indent="1"/>
    </xf>
    <xf numFmtId="0" fontId="14" fillId="0" borderId="41" xfId="0" applyFont="1" applyFill="1" applyBorder="1" applyAlignment="1">
      <alignment horizontal="left" vertical="center" wrapText="1" indent="1"/>
    </xf>
    <xf numFmtId="0" fontId="14" fillId="0" borderId="38" xfId="0" applyFont="1" applyFill="1" applyBorder="1" applyAlignment="1">
      <alignment horizontal="left" vertical="center" wrapText="1" indent="1"/>
    </xf>
    <xf numFmtId="9" fontId="14" fillId="0" borderId="0" xfId="0" applyNumberFormat="1" applyFont="1" applyFill="1" applyBorder="1" applyAlignment="1">
      <alignment horizontal="left" vertical="center" wrapText="1" indent="1"/>
    </xf>
    <xf numFmtId="0" fontId="14" fillId="0" borderId="0" xfId="0" applyFont="1" applyFill="1" applyBorder="1" applyAlignment="1">
      <alignment horizontal="left" vertical="center" wrapText="1" indent="1"/>
    </xf>
    <xf numFmtId="0" fontId="14" fillId="0" borderId="0" xfId="0" applyFont="1" applyFill="1" applyBorder="1" applyAlignment="1">
      <alignment horizontal="left" vertical="center" wrapText="1" indent="2"/>
    </xf>
    <xf numFmtId="0" fontId="14" fillId="21" borderId="0" xfId="0" applyFont="1" applyFill="1" applyBorder="1" applyAlignment="1">
      <alignment horizontal="left" vertical="center" wrapText="1" indent="1"/>
    </xf>
    <xf numFmtId="0" fontId="12" fillId="0" borderId="0" xfId="0" applyFont="1" applyFill="1" applyBorder="1" applyAlignment="1">
      <alignment horizontal="left" vertical="center" wrapText="1" indent="1"/>
    </xf>
    <xf numFmtId="0" fontId="14" fillId="20" borderId="0" xfId="0" applyFont="1" applyFill="1" applyBorder="1" applyAlignment="1">
      <alignment horizontal="left" vertical="center" wrapText="1" indent="1"/>
    </xf>
    <xf numFmtId="0" fontId="13" fillId="0" borderId="0" xfId="0" applyFont="1" applyFill="1" applyBorder="1" applyAlignment="1">
      <alignment horizontal="left" vertical="center" wrapText="1" indent="1"/>
    </xf>
    <xf numFmtId="0" fontId="13" fillId="20" borderId="0" xfId="0" applyFont="1" applyFill="1" applyBorder="1" applyAlignment="1">
      <alignment horizontal="left" vertical="center" wrapText="1" indent="1"/>
    </xf>
    <xf numFmtId="0" fontId="14" fillId="26" borderId="0" xfId="0" applyFont="1" applyFill="1" applyBorder="1" applyAlignment="1">
      <alignment horizontal="left" vertical="center" wrapText="1" indent="1"/>
    </xf>
    <xf numFmtId="0" fontId="14" fillId="25" borderId="0" xfId="0" applyFont="1" applyFill="1" applyBorder="1" applyAlignment="1">
      <alignment horizontal="left" vertical="center" wrapText="1" indent="1"/>
    </xf>
    <xf numFmtId="9" fontId="14" fillId="25" borderId="0" xfId="0" applyNumberFormat="1" applyFont="1" applyFill="1" applyBorder="1" applyAlignment="1">
      <alignment horizontal="left" vertical="center" wrapText="1" indent="1"/>
    </xf>
    <xf numFmtId="9" fontId="14" fillId="26" borderId="0" xfId="0" applyNumberFormat="1" applyFont="1" applyFill="1" applyBorder="1" applyAlignment="1">
      <alignment horizontal="right" vertical="center" wrapText="1" indent="1"/>
    </xf>
    <xf numFmtId="0" fontId="14" fillId="26" borderId="0" xfId="0" applyFont="1" applyFill="1" applyBorder="1" applyAlignment="1">
      <alignment horizontal="right" vertical="center" wrapText="1" indent="1"/>
    </xf>
    <xf numFmtId="0" fontId="0" fillId="21" borderId="0" xfId="0" applyFill="1" applyAlignment="1">
      <alignment horizontal="center" vertical="center" wrapText="1" indent="1"/>
    </xf>
    <xf numFmtId="0" fontId="0" fillId="21" borderId="0" xfId="0" applyFill="1" applyAlignment="1">
      <alignment horizontal="left" vertical="center" wrapText="1" indent="1"/>
    </xf>
    <xf numFmtId="0" fontId="0" fillId="0" borderId="36" xfId="0" applyFill="1" applyBorder="1" applyAlignment="1">
      <alignment horizontal="left" vertical="center" wrapText="1" indent="1"/>
    </xf>
    <xf numFmtId="0" fontId="0" fillId="0" borderId="0" xfId="0" applyFill="1" applyBorder="1" applyAlignment="1">
      <alignment horizontal="left" vertical="center" wrapText="1" indent="1"/>
    </xf>
    <xf numFmtId="0" fontId="0" fillId="0" borderId="40" xfId="0" applyFill="1" applyBorder="1" applyAlignment="1">
      <alignment horizontal="left" vertical="center" wrapText="1" indent="1"/>
    </xf>
    <xf numFmtId="9" fontId="0" fillId="23" borderId="40" xfId="0" applyNumberFormat="1" applyFill="1" applyBorder="1" applyAlignment="1">
      <alignment horizontal="right" vertical="center" wrapText="1" indent="1"/>
    </xf>
    <xf numFmtId="0" fontId="0" fillId="21" borderId="0" xfId="0" applyFill="1" applyAlignment="1">
      <alignment horizontal="right" vertical="center" wrapText="1" indent="1"/>
    </xf>
    <xf numFmtId="0" fontId="0" fillId="0" borderId="40" xfId="0" applyFill="1" applyBorder="1" applyAlignment="1">
      <alignment horizontal="right" vertical="center" wrapText="1" indent="1"/>
    </xf>
    <xf numFmtId="0" fontId="0" fillId="0" borderId="40" xfId="0" applyFill="1" applyBorder="1" applyAlignment="1">
      <alignment horizontal="left" vertical="center" wrapText="1" indent="2"/>
    </xf>
    <xf numFmtId="0" fontId="0" fillId="0" borderId="0" xfId="0" applyFill="1" applyBorder="1" applyAlignment="1">
      <alignment horizontal="left" vertical="center" wrapText="1" indent="2"/>
    </xf>
    <xf numFmtId="0" fontId="11" fillId="0" borderId="40" xfId="0" applyFont="1" applyFill="1" applyBorder="1" applyAlignment="1">
      <alignment horizontal="left" vertical="center" wrapText="1" indent="2"/>
    </xf>
    <xf numFmtId="0" fontId="11" fillId="0" borderId="0" xfId="0" applyFont="1" applyFill="1" applyBorder="1" applyAlignment="1">
      <alignment horizontal="left" vertical="center" wrapText="1" indent="2"/>
    </xf>
    <xf numFmtId="0" fontId="0" fillId="0" borderId="42" xfId="0" applyFill="1" applyBorder="1" applyAlignment="1">
      <alignment horizontal="left" vertical="center" wrapText="1" indent="1"/>
    </xf>
    <xf numFmtId="0" fontId="0" fillId="0" borderId="43" xfId="0" applyFill="1" applyBorder="1" applyAlignment="1">
      <alignment horizontal="left" vertical="center" wrapText="1" indent="1"/>
    </xf>
    <xf numFmtId="0" fontId="11" fillId="0" borderId="45" xfId="0" applyFont="1" applyFill="1" applyBorder="1" applyAlignment="1">
      <alignment horizontal="center" vertical="center" wrapText="1" indent="1"/>
    </xf>
    <xf numFmtId="0" fontId="11" fillId="0" borderId="46" xfId="0" applyFont="1" applyFill="1" applyBorder="1" applyAlignment="1">
      <alignment horizontal="center" vertical="center" wrapText="1" indent="1"/>
    </xf>
    <xf numFmtId="0" fontId="11" fillId="0" borderId="47" xfId="0" applyFont="1" applyFill="1" applyBorder="1" applyAlignment="1">
      <alignment horizontal="center" vertical="center" wrapText="1" indent="1"/>
    </xf>
    <xf numFmtId="0" fontId="11" fillId="0" borderId="44" xfId="0" applyFont="1" applyFill="1" applyBorder="1" applyAlignment="1">
      <alignment horizontal="center" vertical="center" wrapText="1" indent="1"/>
    </xf>
    <xf numFmtId="0" fontId="0" fillId="2" borderId="40" xfId="0" applyFill="1" applyBorder="1" applyAlignment="1">
      <alignment horizontal="right" vertical="center" wrapText="1" indent="1"/>
    </xf>
    <xf numFmtId="0" fontId="0" fillId="27" borderId="3" xfId="0" applyFill="1" applyBorder="1" applyAlignment="1">
      <alignment vertical="top"/>
    </xf>
    <xf numFmtId="1" fontId="0" fillId="27" borderId="3" xfId="0" applyNumberFormat="1" applyFill="1" applyBorder="1" applyAlignment="1">
      <alignment horizontal="center" vertical="top"/>
    </xf>
    <xf numFmtId="0" fontId="0" fillId="27" borderId="3" xfId="0" applyFill="1" applyBorder="1" applyAlignment="1">
      <alignment horizontal="center" vertical="top"/>
    </xf>
    <xf numFmtId="165" fontId="0" fillId="27" borderId="3" xfId="0" applyNumberFormat="1" applyFill="1" applyBorder="1" applyAlignment="1">
      <alignment horizontal="center" vertical="top"/>
    </xf>
    <xf numFmtId="164" fontId="0" fillId="27" borderId="3" xfId="0" applyNumberFormat="1" applyFill="1" applyBorder="1" applyAlignment="1">
      <alignment horizontal="center" vertical="top"/>
    </xf>
    <xf numFmtId="0" fontId="0" fillId="0" borderId="0" xfId="0" applyFill="1" applyBorder="1" applyAlignment="1">
      <alignment horizontal="center" vertical="center" wrapText="1"/>
    </xf>
    <xf numFmtId="0" fontId="0" fillId="28" borderId="0" xfId="0" applyFill="1" applyBorder="1" applyAlignment="1">
      <alignment horizontal="center" vertical="top"/>
    </xf>
    <xf numFmtId="0" fontId="0" fillId="28" borderId="0" xfId="0" applyFill="1" applyBorder="1" applyAlignment="1">
      <alignment horizontal="center" vertical="center" wrapText="1"/>
    </xf>
    <xf numFmtId="0" fontId="0" fillId="28" borderId="0" xfId="0" applyFill="1" applyBorder="1" applyAlignment="1">
      <alignment vertical="top"/>
    </xf>
    <xf numFmtId="9" fontId="0" fillId="0" borderId="0" xfId="0" applyNumberFormat="1"/>
    <xf numFmtId="0" fontId="0" fillId="2" borderId="0" xfId="0" applyFill="1"/>
    <xf numFmtId="0" fontId="0" fillId="18" borderId="0" xfId="0" applyFill="1"/>
    <xf numFmtId="0" fontId="0" fillId="17" borderId="0" xfId="0" applyFill="1"/>
    <xf numFmtId="0" fontId="0" fillId="29" borderId="0" xfId="0" applyFill="1"/>
    <xf numFmtId="0" fontId="0" fillId="20" borderId="0" xfId="0" applyFill="1"/>
    <xf numFmtId="0" fontId="0" fillId="0" borderId="0" xfId="0" applyFill="1"/>
    <xf numFmtId="9" fontId="0" fillId="0" borderId="0" xfId="0" applyNumberFormat="1" applyFill="1"/>
    <xf numFmtId="0" fontId="0" fillId="0" borderId="0" xfId="0" applyBorder="1" applyAlignment="1">
      <alignment horizontal="center" vertical="top"/>
    </xf>
  </cellXfs>
  <cellStyles count="5">
    <cellStyle name="Comma" xfId="2" builtinId="3"/>
    <cellStyle name="Currency" xfId="3" builtinId="4"/>
    <cellStyle name="Hyperlink" xfId="1" builtinId="8"/>
    <cellStyle name="Normal" xfId="0" builtinId="0"/>
    <cellStyle name="Percent" xfId="4" builtinId="5"/>
  </cellStyles>
  <dxfs count="1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0" formatCode="hh:mm\.ss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yyyy\.mm\.dd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yyyy\.mm\.dd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yyyy\.mm\.dd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yyyy\.mm\.dd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1" readingOrder="0"/>
    </dxf>
    <dxf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</dxf>
    <dxf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</dxf>
    <dxf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</dxf>
    <dxf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</dxf>
    <dxf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</dxf>
    <dxf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color theme="0" tint="-0.14996795556505021"/>
      </font>
    </dxf>
    <dxf>
      <font>
        <b/>
        <i val="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indexed="64"/>
          <bgColor theme="4" tint="0.5999938962981048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3" formatCode="0%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fgColor indexed="64"/>
          <bgColor rgb="FF808080"/>
        </patternFill>
      </fill>
      <alignment horizontal="left" vertical="center" textRotation="0" wrapText="1" relativeIndent="1" justifyLastLine="0" shrinkToFit="0" readingOrder="0"/>
      <border>
        <left style="thin">
          <color rgb="FF505050"/>
        </left>
        <right style="thin">
          <color rgb="FF505050"/>
        </right>
      </border>
    </dxf>
    <dxf>
      <fill>
        <patternFill patternType="none">
          <fgColor indexed="64"/>
          <bgColor indexed="65"/>
        </patternFill>
      </fill>
      <alignment horizontal="left" vertical="center" wrapText="1" relativeIndent="1"/>
    </dxf>
    <dxf>
      <fill>
        <patternFill patternType="none">
          <fgColor indexed="64"/>
          <bgColor rgb="FF808080"/>
        </patternFill>
      </fill>
      <alignment horizontal="left" vertical="center" wrapText="1" relativeIndent="1"/>
      <border>
        <left style="thin">
          <color rgb="FF000000"/>
        </left>
        <right style="thin">
          <color rgb="FF000000"/>
        </right>
      </border>
    </dxf>
    <dxf>
      <fill>
        <patternFill patternType="solid">
          <fgColor indexed="64"/>
          <bgColor rgb="FFFFF2CC"/>
        </patternFill>
      </fill>
      <alignment horizontal="right" vertical="center" textRotation="0" wrapText="1" relativeIndent="1" justifyLastLine="0" shrinkToFit="0" readingOrder="0"/>
      <border>
        <left style="thin">
          <color rgb="FF000000"/>
        </left>
        <right style="thin">
          <color rgb="FF000000"/>
        </right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/>
      </fill>
      <alignment horizontal="left" vertical="center" wrapText="1" relativeIndent="1"/>
    </dxf>
    <dxf>
      <border>
        <bottom style="thin">
          <color rgb="FF505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rgb="FF808080"/>
        </patternFill>
      </fill>
      <alignment horizontal="center" vertical="center" wrapText="1" relativeIndent="1"/>
    </dxf>
    <dxf>
      <fill>
        <patternFill patternType="none">
          <fgColor indexed="64"/>
          <bgColor rgb="FF808080"/>
        </patternFill>
      </fill>
      <alignment horizontal="left" vertical="center" textRotation="0" wrapText="0" relativeIndent="1" justifyLastLine="0" shrinkToFit="0" readingOrder="0"/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rgb="FF808080"/>
        </patternFill>
      </fill>
      <alignment horizontal="left" vertical="center" textRotation="0" wrapText="0" relativeIndent="1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80808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CE4D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CE4D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CE4D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CE4D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CE4D6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rgb="FF808080"/>
        </patternFill>
      </fill>
      <alignment horizontal="left" vertical="center" textRotation="0" wrapText="0" relativeIndent="1" justifyLastLine="0" shrinkToFit="0" readingOrder="0"/>
    </dxf>
    <dxf>
      <fill>
        <patternFill patternType="none">
          <fgColor indexed="64"/>
          <bgColor rgb="FF808080"/>
        </patternFill>
      </fill>
      <alignment horizontal="left" vertical="center" textRotation="0" wrapText="0" relativeIndent="1" justifyLastLine="0" shrinkToFit="0" readingOrder="0"/>
    </dxf>
    <dxf>
      <fill>
        <patternFill patternType="none">
          <fgColor indexed="64"/>
          <bgColor rgb="FF808080"/>
        </patternFill>
      </fill>
      <alignment horizontal="left" vertical="center" textRotation="0" wrapText="0" relativeIndent="1" justifyLastLine="0" shrinkToFit="0" readingOrder="0"/>
    </dxf>
    <dxf>
      <fill>
        <patternFill patternType="none">
          <fgColor indexed="64"/>
          <bgColor rgb="FF808080"/>
        </patternFill>
      </fill>
      <alignment horizontal="left" vertical="center" textRotation="0" wrapText="0" relativeIndent="1" justifyLastLine="0" shrinkToFit="0" readingOrder="0"/>
    </dxf>
    <dxf>
      <fill>
        <patternFill patternType="none">
          <fgColor indexed="64"/>
          <bgColor rgb="FF808080"/>
        </patternFill>
      </fill>
      <alignment horizontal="left" vertical="center" textRotation="0" wrapText="0" relativeIndent="1" justifyLastLine="0" shrinkToFit="0" readingOrder="0"/>
    </dxf>
    <dxf>
      <fill>
        <patternFill patternType="none">
          <fgColor indexed="64"/>
          <bgColor rgb="FF808080"/>
        </patternFill>
      </fill>
      <alignment horizontal="left" vertical="center" textRotation="0" wrapText="0" relativeIndent="1" justifyLastLine="0" shrinkToFit="0" readingOrder="0"/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rgb="FF80808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808080"/>
        </patternFill>
      </fill>
      <alignment horizontal="center" vertical="center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rgb="FF808080"/>
        </patternFill>
      </fill>
      <alignment horizontal="left" vertical="center" textRotation="0" wrapText="1" indent="1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  <border>
        <left style="thin">
          <color rgb="FF000000"/>
        </left>
        <right style="thin">
          <color rgb="FF000000"/>
        </right>
      </border>
    </dxf>
    <dxf>
      <font>
        <color rgb="FF000000"/>
      </font>
      <fill>
        <patternFill patternType="none">
          <fgColor indexed="64"/>
          <bgColor rgb="FF808080"/>
        </patternFill>
      </fill>
      <alignment horizontal="left" vertical="center" textRotation="0" wrapText="1" indent="1" justifyLastLine="0" shrinkToFit="0" readingOrder="0"/>
    </dxf>
    <dxf>
      <border outline="0">
        <bottom style="thin">
          <color auto="1"/>
        </bottom>
      </border>
    </dxf>
    <dxf>
      <font>
        <color rgb="FF000000"/>
        <family val="2"/>
      </font>
      <fill>
        <patternFill patternType="none">
          <fgColor indexed="64"/>
          <bgColor rgb="FF808080"/>
        </patternFill>
      </fill>
      <alignment horizontal="left" vertical="center" textRotation="0" wrapText="1" indent="1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rgb="FF80808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wrapText="1" relativeInden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1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1" relativeIndent="1" justifyLastLine="0" shrinkToFit="0" readingOrder="0"/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1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1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wrapText="1" relativeInden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wrapText="1" relativeInden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1" relativeIndent="1" justifyLastLine="0" shrinkToFit="0" readingOrder="0"/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relativeIndent="1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2170043</xdr:colOff>
          <xdr:row>2</xdr:row>
          <xdr:rowOff>45415</xdr:rowOff>
        </xdr:from>
        <xdr:to>
          <xdr:col>1</xdr:col>
          <xdr:colOff>2122372</xdr:colOff>
          <xdr:row>11</xdr:row>
          <xdr:rowOff>284370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2170043" y="680415"/>
              <a:ext cx="2145196" cy="3096455"/>
              <a:chOff x="11902109" y="3156914"/>
              <a:chExt cx="2145196" cy="3147393"/>
            </a:xfrm>
            <a:solidFill>
              <a:schemeClr val="bg1">
                <a:lumMod val="85000"/>
                <a:alpha val="50000"/>
              </a:schemeClr>
            </a:solidFill>
          </xdr:grpSpPr>
          <xdr:sp macro="" textlink="">
            <xdr:nvSpPr>
              <xdr:cNvPr id="4107" name="CheckBox1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200-00000B100000}"/>
                  </a:ext>
                </a:extLst>
              </xdr:cNvPr>
              <xdr:cNvSpPr/>
            </xdr:nvSpPr>
            <xdr:spPr bwMode="auto">
              <a:xfrm>
                <a:off x="11902109" y="3156914"/>
                <a:ext cx="2145196" cy="3147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08" name="Demo" hidden="1">
                <a:extLst>
                  <a:ext uri="{63B3BB69-23CF-44E3-9099-C40C66FF867C}">
                    <a14:compatExt spid="_x0000_s4108"/>
                  </a:ext>
                  <a:ext uri="{FF2B5EF4-FFF2-40B4-BE49-F238E27FC236}">
                    <a16:creationId xmlns:a16="http://schemas.microsoft.com/office/drawing/2014/main" id="{00000000-0008-0000-0200-00000C100000}"/>
                  </a:ext>
                </a:extLst>
              </xdr:cNvPr>
              <xdr:cNvSpPr/>
            </xdr:nvSpPr>
            <xdr:spPr bwMode="auto">
              <a:xfrm>
                <a:off x="11902109" y="3471655"/>
                <a:ext cx="2145196" cy="3147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09" name="Grading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200-00000D100000}"/>
                  </a:ext>
                </a:extLst>
              </xdr:cNvPr>
              <xdr:cNvSpPr/>
            </xdr:nvSpPr>
            <xdr:spPr bwMode="auto">
              <a:xfrm>
                <a:off x="11902109" y="3786395"/>
                <a:ext cx="2145196" cy="3147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0" name="Pool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200-00000E100000}"/>
                  </a:ext>
                </a:extLst>
              </xdr:cNvPr>
              <xdr:cNvSpPr/>
            </xdr:nvSpPr>
            <xdr:spPr bwMode="auto">
              <a:xfrm>
                <a:off x="11902109" y="4101134"/>
                <a:ext cx="2145196" cy="3147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1" name="Elc" hidden="1">
                <a:extLst>
                  <a:ext uri="{63B3BB69-23CF-44E3-9099-C40C66FF867C}">
                    <a14:compatExt spid="_x0000_s4111"/>
                  </a:ext>
                  <a:ext uri="{FF2B5EF4-FFF2-40B4-BE49-F238E27FC236}">
                    <a16:creationId xmlns:a16="http://schemas.microsoft.com/office/drawing/2014/main" id="{00000000-0008-0000-0200-00000F100000}"/>
                  </a:ext>
                </a:extLst>
              </xdr:cNvPr>
              <xdr:cNvSpPr/>
            </xdr:nvSpPr>
            <xdr:spPr bwMode="auto">
              <a:xfrm>
                <a:off x="11902109" y="4415873"/>
                <a:ext cx="2145196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2" name="Mch" hidden="1">
                <a:extLst>
                  <a:ext uri="{63B3BB69-23CF-44E3-9099-C40C66FF867C}">
                    <a14:compatExt spid="_x0000_s4112"/>
                  </a:ext>
                  <a:ext uri="{FF2B5EF4-FFF2-40B4-BE49-F238E27FC236}">
                    <a16:creationId xmlns:a16="http://schemas.microsoft.com/office/drawing/2014/main" id="{00000000-0008-0000-0200-000010100000}"/>
                  </a:ext>
                </a:extLst>
              </xdr:cNvPr>
              <xdr:cNvSpPr/>
            </xdr:nvSpPr>
            <xdr:spPr bwMode="auto">
              <a:xfrm>
                <a:off x="11902109" y="4730612"/>
                <a:ext cx="2145196" cy="3147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3" name="Plb" hidden="1">
                <a:extLst>
                  <a:ext uri="{63B3BB69-23CF-44E3-9099-C40C66FF867C}">
                    <a14:compatExt spid="_x0000_s4113"/>
                  </a:ext>
                  <a:ext uri="{FF2B5EF4-FFF2-40B4-BE49-F238E27FC236}">
                    <a16:creationId xmlns:a16="http://schemas.microsoft.com/office/drawing/2014/main" id="{00000000-0008-0000-0200-000011100000}"/>
                  </a:ext>
                </a:extLst>
              </xdr:cNvPr>
              <xdr:cNvSpPr/>
            </xdr:nvSpPr>
            <xdr:spPr bwMode="auto">
              <a:xfrm>
                <a:off x="11902109" y="5045351"/>
                <a:ext cx="2145196" cy="3147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4" name="Dwelling" hidden="1">
                <a:extLst>
                  <a:ext uri="{63B3BB69-23CF-44E3-9099-C40C66FF867C}">
                    <a14:compatExt spid="_x0000_s4114"/>
                  </a:ext>
                  <a:ext uri="{FF2B5EF4-FFF2-40B4-BE49-F238E27FC236}">
                    <a16:creationId xmlns:a16="http://schemas.microsoft.com/office/drawing/2014/main" id="{00000000-0008-0000-0200-000012100000}"/>
                  </a:ext>
                </a:extLst>
              </xdr:cNvPr>
              <xdr:cNvSpPr/>
            </xdr:nvSpPr>
            <xdr:spPr bwMode="auto">
              <a:xfrm>
                <a:off x="11902109" y="5360090"/>
                <a:ext cx="2145196" cy="3147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5" name="Commercial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200-000013100000}"/>
                  </a:ext>
                </a:extLst>
              </xdr:cNvPr>
              <xdr:cNvSpPr/>
            </xdr:nvSpPr>
            <xdr:spPr bwMode="auto">
              <a:xfrm>
                <a:off x="11902109" y="5674829"/>
                <a:ext cx="2145196" cy="3147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6" name="Accessory" hidden="1">
                <a:extLst>
                  <a:ext uri="{63B3BB69-23CF-44E3-9099-C40C66FF867C}">
                    <a14:compatExt spid="_x0000_s4116"/>
                  </a:ext>
                  <a:ext uri="{FF2B5EF4-FFF2-40B4-BE49-F238E27FC236}">
                    <a16:creationId xmlns:a16="http://schemas.microsoft.com/office/drawing/2014/main" id="{00000000-0008-0000-0200-000014100000}"/>
                  </a:ext>
                </a:extLst>
              </xdr:cNvPr>
              <xdr:cNvSpPr/>
            </xdr:nvSpPr>
            <xdr:spPr bwMode="auto">
              <a:xfrm>
                <a:off x="11902109" y="5989568"/>
                <a:ext cx="2145196" cy="3147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28575</xdr:rowOff>
        </xdr:from>
        <xdr:to>
          <xdr:col>2</xdr:col>
          <xdr:colOff>652992</xdr:colOff>
          <xdr:row>39</xdr:row>
          <xdr:rowOff>133350</xdr:rowOff>
        </xdr:to>
        <xdr:sp macro="" textlink="">
          <xdr:nvSpPr>
            <xdr:cNvPr id="1033" name="UnhideColum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28575</xdr:rowOff>
        </xdr:from>
        <xdr:to>
          <xdr:col>2</xdr:col>
          <xdr:colOff>652992</xdr:colOff>
          <xdr:row>42</xdr:row>
          <xdr:rowOff>133350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B71DB-C5A1-49B9-96C6-594F4116F7D0}" name="Table512" displayName="Table512" ref="B2:I20" totalsRowShown="0" headerRowDxfId="193" dataDxfId="192" tableBorderDxfId="191">
  <autoFilter ref="B2:I20" xr:uid="{95A465D7-6690-4BED-93E0-B798B745F82C}"/>
  <tableColumns count="8">
    <tableColumn id="8" xr3:uid="{38796A96-3C5E-460C-8EC3-8388EBA271F2}" name="Table" dataDxfId="190"/>
    <tableColumn id="1" xr3:uid="{8722EDBD-C3EB-42C0-A8BF-79CA8F66A3F2}" name="Data Description" dataDxfId="189"/>
    <tableColumn id="10" xr3:uid="{5F72F8E8-B59F-4A54-8CE5-D9D034FEA398}" name="Individual Record Template" dataDxfId="188"/>
    <tableColumn id="2" xr3:uid="{C4D6C99D-915E-4278-8DC7-A348D73B4B80}" name="Database / List" dataDxfId="187"/>
    <tableColumn id="3" xr3:uid="{1B643A3C-07E7-492C-B76F-981A111A967C}" name="Holds/Alerts" dataDxfId="186"/>
    <tableColumn id="4" xr3:uid="{A03A66E8-09CA-4FE9-9CB8-A199001B18F5}" name="Past" dataDxfId="185"/>
    <tableColumn id="5" xr3:uid="{28EEB8D3-3F96-4EAB-AD73-BC9BF0EC1390}" name="Clariti" dataDxfId="184"/>
    <tableColumn id="13" xr3:uid="{605951C4-261B-482B-9F04-69C90BB66436}" name="Future" dataDxfId="1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5A465D7-6690-4BED-93E0-B798B745F82C}" name="Table5" displayName="Table5" ref="B2:H21" totalsRowShown="0" headerRowDxfId="182" dataDxfId="181" tableBorderDxfId="180">
  <autoFilter ref="B2:H21" xr:uid="{95A465D7-6690-4BED-93E0-B798B745F82C}"/>
  <tableColumns count="7">
    <tableColumn id="8" xr3:uid="{0E82E072-D9C6-4613-9BCE-8F9E1586A467}" name="Template" dataDxfId="179"/>
    <tableColumn id="9" xr3:uid="{D5848FE3-B2F1-49E0-8D59-D90E2FA9A4C6}" name="Template Type" dataDxfId="178"/>
    <tableColumn id="1" xr3:uid="{2376DE67-EDC3-49AB-BE65-CE64C2DD94C4}" name="Template Description" dataDxfId="177"/>
    <tableColumn id="14" xr3:uid="{8BFCCD47-B04D-4EF5-AD6B-3C935808B641}" name="Prerequisites" dataDxfId="176"/>
    <tableColumn id="15" xr3:uid="{2F87F393-73C7-4CB4-9AFB-0E71AF317D6E}" name="Holds" dataDxfId="175"/>
    <tableColumn id="12" xr3:uid="{70629783-7E33-4627-BB1E-4F9D936CE33F}" name="Online" dataDxfId="174"/>
    <tableColumn id="13" xr3:uid="{2817D400-46AB-41A8-9829-4D3CCAFFDCE4}" name="OTC" dataDxfId="1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1A6A84C-04BD-4F80-8C15-FEECF2DB5070}" name="Table3" displayName="Table3" ref="B2:D36" totalsRowShown="0" headerRowDxfId="172" dataDxfId="171" tableBorderDxfId="170">
  <autoFilter ref="B2:D36" xr:uid="{81A6A84C-04BD-4F80-8C15-FEECF2DB5070}"/>
  <tableColumns count="3">
    <tableColumn id="1" xr3:uid="{F062E5EC-B1C2-4734-834C-F3F62D7C4322}" name="Category" dataDxfId="169"/>
    <tableColumn id="3" xr3:uid="{082353A6-D3D8-4F90-9D1D-5643554DB226}" name="Status" dataDxfId="168"/>
    <tableColumn id="2" xr3:uid="{B9D047C7-35F4-4545-8DC0-50FB5D5B41E2}" name="Description" dataDxfId="16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05551A8-3879-4A12-BAF3-B55A0880278A}" name="Table8" displayName="Table8" ref="B2:R27" totalsRowShown="0" headerRowDxfId="166" dataDxfId="165" tableBorderDxfId="164">
  <autoFilter ref="B2:R27" xr:uid="{61BCEE3D-86C7-425D-AE82-05540C2DD1F4}"/>
  <sortState xmlns:xlrd2="http://schemas.microsoft.com/office/spreadsheetml/2017/richdata2" ref="B3:R27">
    <sortCondition ref="B2:B27"/>
  </sortState>
  <tableColumns count="17">
    <tableColumn id="1" xr3:uid="{1AC4561E-D8F9-49F5-9E8B-C6AF27BA26DA}" name="Group" dataDxfId="163"/>
    <tableColumn id="2" xr3:uid="{28E39473-880D-4265-B53F-78184661933E}" name="First Name" dataDxfId="162"/>
    <tableColumn id="3" xr3:uid="{92AF5E32-549B-4E70-B926-CBCA51893A91}" name="MI" dataDxfId="161"/>
    <tableColumn id="4" xr3:uid="{69BE3E02-4ED5-4D6C-AE26-FA1C7477496B}" name="Last Name" dataDxfId="160"/>
    <tableColumn id="5" xr3:uid="{CC90D37B-E55D-4D9D-9C94-78DDF0DF4F5C}" name="Nick Name" dataDxfId="159">
      <calculatedColumnFormula>CONCATENATE(LEFT(C3,1),D3,LEFT(E3,1))</calculatedColumnFormula>
    </tableColumn>
    <tableColumn id="6" xr3:uid="{827F4F33-C1BC-4E7E-A654-D9D95DA762F2}" name="Email" dataDxfId="158" dataCellStyle="Hyperlink"/>
    <tableColumn id="7" xr3:uid="{6D3C9516-A164-4859-AA78-4F32955BDC8D}" name="Read Only" dataDxfId="157"/>
    <tableColumn id="18" xr3:uid="{1BF8A7CD-81A4-4321-8457-D132D443EF20}" name="Rvw" dataDxfId="156"/>
    <tableColumn id="19" xr3:uid="{4CB51101-547A-4AF3-AB53-411F4D4C5DFB}" name="Insp" dataDxfId="155"/>
    <tableColumn id="8" xr3:uid="{A931B87F-9801-4CA9-B2FB-7FBBB97A8408}" name="Admin" dataDxfId="154"/>
    <tableColumn id="9" xr3:uid="{0B2CFA71-C9BE-4A23-B5CD-BB8DB3C537C5}" name="Fisc" dataDxfId="153"/>
    <tableColumn id="12" xr3:uid="{A7191EEE-B12E-4EFE-A10F-4763F9C3E8DC}" name="Bldg" dataDxfId="152"/>
    <tableColumn id="13" xr3:uid="{80568810-6746-4B8D-9CB1-F74BBB41DC91}" name="EH" dataDxfId="151"/>
    <tableColumn id="14" xr3:uid="{A2CD3AA5-E66E-4DA5-B891-4D327C95E911}" name="Fire" dataDxfId="150"/>
    <tableColumn id="15" xr3:uid="{590C19C8-7162-46C7-A6DC-956D728CE0E8}" name="IWM" dataDxfId="149"/>
    <tableColumn id="16" xr3:uid="{7C979061-366E-4FA9-9AF3-E6749B3109F6}" name="Plng" dataDxfId="148"/>
    <tableColumn id="17" xr3:uid="{C8058A75-9CC0-4ACD-AD79-40F60FB24EE2}" name="PW" dataDxfId="14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005293-8526-42D5-94D5-9B940997C4AB}" name="Table9" displayName="Table9" ref="B29:B40" totalsRowShown="0" headerRowDxfId="146" dataDxfId="145" tableBorderDxfId="144">
  <autoFilter ref="B29:B40" xr:uid="{BC005293-8526-42D5-94D5-9B940997C4AB}"/>
  <tableColumns count="1">
    <tableColumn id="1" xr3:uid="{F1747933-0EC6-4BCD-90A6-B892CF443E19}" name="User Groups" dataDxfId="14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F69D975-796F-4999-B6F1-A3CE8D026E92}" name="Table7" displayName="Table7" ref="B2:E28" totalsRowShown="0" headerRowDxfId="142" dataDxfId="140" headerRowBorderDxfId="141" tableBorderDxfId="139">
  <autoFilter ref="B2:E28" xr:uid="{2F69D975-796F-4999-B6F1-A3CE8D026E92}"/>
  <tableColumns count="4">
    <tableColumn id="4" xr3:uid="{34E0E3E8-DE45-4582-BBD4-ACA6D69FC768}" name="Field" dataDxfId="138"/>
    <tableColumn id="2" xr3:uid="{A8D85A06-84EE-42D4-A60F-771BDE4487FE}" name="Related_x000a_(click to see detailed info)" dataDxfId="137"/>
    <tableColumn id="5" xr3:uid="{F1A4DB50-9421-45E0-9980-39C37DE690E8}" name="Button" dataDxfId="136"/>
    <tableColumn id="3" xr3:uid="{2E7347B6-F69F-42D5-8C25-06042442CF54}" name="Application Condition" dataDxfId="13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032C481-399A-B544-8C71-501E6901C98B}" name="Table4" displayName="Table4" ref="B44:E53" totalsRowShown="0" headerRowDxfId="128" dataDxfId="127">
  <autoFilter ref="B44:E53" xr:uid="{B032C481-399A-B544-8C71-501E6901C98B}"/>
  <tableColumns count="4">
    <tableColumn id="1" xr3:uid="{F192F2A5-34EB-D54D-9A6E-A2BA5522C2DE}" name="Category" dataDxfId="126"/>
    <tableColumn id="2" xr3:uid="{D97D92FC-C576-8A42-BDF8-5DE4828F6A8F}" name="Type" dataDxfId="125"/>
    <tableColumn id="3" xr3:uid="{69273F23-69BC-0947-A14B-97015131A4D5}" name="Column1" dataDxfId="124"/>
    <tableColumn id="4" xr3:uid="{46719973-1111-9943-8A46-B221744AE1A2}" name="Column2" dataDxfId="12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1AB9690-9D1B-6947-A1E4-A61E326FFBE4}" name="Table10" displayName="Table10" ref="B37:E42" totalsRowShown="0" headerRowDxfId="122" dataDxfId="121">
  <autoFilter ref="B37:E42" xr:uid="{71AB9690-9D1B-6947-A1E4-A61E326FFBE4}"/>
  <tableColumns count="4">
    <tableColumn id="1" xr3:uid="{A5575516-F7AD-BA44-8329-358FAAC5DC7D}" name="Category" dataDxfId="120"/>
    <tableColumn id="2" xr3:uid="{D895390F-7F22-BC49-9AD3-0D6D7D86452E}" name="Type" dataDxfId="119"/>
    <tableColumn id="3" xr3:uid="{6B4799A4-35D5-E049-B70D-D26C13CF0213}" name="Column1" dataDxfId="118"/>
    <tableColumn id="4" xr3:uid="{AEAEB1BE-478D-6747-8890-2E15CBE4C71F}" name="Column2" dataDxfId="11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FB5349C-BEBD-9342-A7A1-D4B31B3169D2}" name="Table13" displayName="Table13" ref="B28:E35" totalsRowShown="0" headerRowDxfId="116" dataDxfId="115">
  <autoFilter ref="B28:E35" xr:uid="{CFB5349C-BEBD-9342-A7A1-D4B31B3169D2}"/>
  <tableColumns count="4">
    <tableColumn id="1" xr3:uid="{CD32CE02-840C-5B4F-A894-27288CA81BD1}" name="Category" dataDxfId="114"/>
    <tableColumn id="2" xr3:uid="{7865227C-AA40-E449-A2B4-EAB7D9AE00E3}" name="Type" dataDxfId="113"/>
    <tableColumn id="3" xr3:uid="{BCE8A797-7AF4-2443-A651-442F29AAE8B2}" name="Column1" dataDxfId="112"/>
    <tableColumn id="4" xr3:uid="{FD564E72-443F-4943-BBFF-FFAB6FEC88C7}" name="Column2" dataDxfId="11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846163D-708C-A649-89F5-C12AFCB26F16}" name="Table15" displayName="Table15" ref="B15:E26" totalsRowShown="0" headerRowDxfId="110" dataDxfId="109">
  <autoFilter ref="B15:E26" xr:uid="{D846163D-708C-A649-89F5-C12AFCB26F16}"/>
  <tableColumns count="4">
    <tableColumn id="1" xr3:uid="{7DFF7E78-D214-D340-9D05-86D386FCE11B}" name="Category" dataDxfId="108"/>
    <tableColumn id="2" xr3:uid="{38487F4E-F30E-3C44-A83E-73656D9863A6}" name="Type" dataDxfId="107"/>
    <tableColumn id="3" xr3:uid="{CEC0B5D2-C3B4-8F43-97FB-B098C545BB80}" name="Column1" dataDxfId="106"/>
    <tableColumn id="4" xr3:uid="{B4960F13-4E56-E24D-8D48-62233137BACC}" name="Column2" dataDxfId="10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B359B0A-DCCD-FD45-97BD-0E07CD09AAC8}" name="Table17" displayName="Table17" ref="B2:E13" totalsRowShown="0" headerRowDxfId="104" dataDxfId="103">
  <autoFilter ref="B2:E13" xr:uid="{FB359B0A-DCCD-FD45-97BD-0E07CD09AAC8}"/>
  <tableColumns count="4">
    <tableColumn id="1" xr3:uid="{D7A8B5FC-0D4E-F04A-8E17-9E889A920241}" name="Category" dataDxfId="102">
      <calculatedColumnFormula>'Permit &amp; App'!B9</calculatedColumnFormula>
    </tableColumn>
    <tableColumn id="2" xr3:uid="{3106AE7A-5F39-FF43-AEC7-4758B0521CCA}" name="Type" dataDxfId="101"/>
    <tableColumn id="3" xr3:uid="{472040AE-A79C-284D-8E99-CA93DA9A57F9}" name="Column1" dataDxfId="100"/>
    <tableColumn id="4" xr3:uid="{DC4C8BEB-A347-0D45-A2CF-1197AF43CAD4}" name="Column2" dataDxfId="9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1E3003B-4144-2A4E-AC99-A9719EA25B49}" name="Table419" displayName="Table419" ref="B56:E68" totalsRowShown="0" headerRowDxfId="98" dataDxfId="97">
  <autoFilter ref="B56:E68" xr:uid="{E1E3003B-4144-2A4E-AC99-A9719EA25B49}"/>
  <tableColumns count="4">
    <tableColumn id="1" xr3:uid="{729E5EEA-10AD-F144-AD05-5F250BFAB9C8}" name="Category" dataDxfId="96"/>
    <tableColumn id="2" xr3:uid="{B550B9AF-1D8C-FC42-B162-4B3D987037F4}" name="Type" dataDxfId="95"/>
    <tableColumn id="3" xr3:uid="{034F5659-EA45-9B4A-897D-B809D36CB0C4}" name="Column1" dataDxfId="94"/>
    <tableColumn id="4" xr3:uid="{62DE6431-ED0E-BA4C-A6CA-2680AD9086E9}" name="Column2" dataDxfId="9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E9882BD-1F62-2544-AADD-C288682249AE}" name="Table19" displayName="Table19" ref="B85:E87" totalsRowShown="0" headerRowDxfId="92" dataDxfId="91">
  <autoFilter ref="B85:E87" xr:uid="{7E9882BD-1F62-2544-AADD-C288682249AE}"/>
  <tableColumns count="4">
    <tableColumn id="1" xr3:uid="{0EECCAFE-59F7-7C45-981D-20F424D5A65A}" name="Column1" dataDxfId="90"/>
    <tableColumn id="2" xr3:uid="{E44E9023-2A48-C745-A0A4-C8AF7121445C}" name="Column2" dataDxfId="89"/>
    <tableColumn id="3" xr3:uid="{3EDE214A-46CF-3141-A526-824DA8F7879F}" name="Column3" dataDxfId="88"/>
    <tableColumn id="4" xr3:uid="{AB663E47-6A60-8441-897C-0BD500FEACBB}" name="Column4" dataDxfId="8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9BB359D-FCCC-4C47-B91C-950A1E2F2EE5}" name="Table20" displayName="Table20" ref="B90:E95" totalsRowShown="0" headerRowDxfId="86" dataDxfId="85">
  <autoFilter ref="B90:E95" xr:uid="{59BB359D-FCCC-4C47-B91C-950A1E2F2EE5}"/>
  <tableColumns count="4">
    <tableColumn id="1" xr3:uid="{885F4D19-F3BE-EA47-A34F-302305066CBB}" name="Column1" dataDxfId="84"/>
    <tableColumn id="2" xr3:uid="{4AD1F3F3-A7F7-3548-BD7E-97FCB7B50D68}" name="Column2" dataDxfId="83"/>
    <tableColumn id="3" xr3:uid="{0BB1DAAD-3DCD-5F4A-85A0-7A381FF12C83}" name="Column3" dataDxfId="82"/>
    <tableColumn id="4" xr3:uid="{3707C079-F26C-0E4F-8D1D-F0A654C968AB}" name="Column4" dataDxfId="8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3820EF6-E22E-D645-98F8-44D27D4DB10F}" name="Table21" displayName="Table21" ref="B97:E102" totalsRowShown="0" headerRowDxfId="80" dataDxfId="79">
  <autoFilter ref="B97:E102" xr:uid="{63820EF6-E22E-D645-98F8-44D27D4DB10F}"/>
  <tableColumns count="4">
    <tableColumn id="1" xr3:uid="{3EF2E26A-4641-D74F-A636-917BDCCD7005}" name="Column1" dataDxfId="78"/>
    <tableColumn id="2" xr3:uid="{6ED76C1E-2BB1-C541-B204-8DB64DC882C7}" name="Column2" dataDxfId="77"/>
    <tableColumn id="3" xr3:uid="{27E27EFA-6F2C-C142-92A7-E0C30BF15E8B}" name="Column3" dataDxfId="76"/>
    <tableColumn id="4" xr3:uid="{5AE12C1B-2042-DA44-A2CD-61B3685B2CB8}" name="Column4" dataDxfId="7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5C0FC41E-8B45-8744-852C-40365D502E45}" name="Table22" displayName="Table22" ref="B104:E109" totalsRowShown="0" headerRowDxfId="74" dataDxfId="73">
  <autoFilter ref="B104:E109" xr:uid="{5C0FC41E-8B45-8744-852C-40365D502E45}"/>
  <tableColumns count="4">
    <tableColumn id="1" xr3:uid="{4E8B102E-63D8-3844-84A5-7638B07EB619}" name="Column1" dataDxfId="72"/>
    <tableColumn id="2" xr3:uid="{EA2C9DEB-6B9B-1048-8CE5-AF3101011C82}" name="Column2" dataDxfId="71"/>
    <tableColumn id="3" xr3:uid="{D82331E1-A5B7-AD45-9A6B-A4310D66BD0A}" name="Column3" dataDxfId="70"/>
    <tableColumn id="4" xr3:uid="{9EE45F7E-29D6-8E4D-8ED0-642D41C42053}" name="Column4" dataDxfId="6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435EC9C-AF94-1943-BBDC-2F5584B86850}" name="Table23" displayName="Table23" ref="B78:E83" totalsRowShown="0" headerRowDxfId="68" dataDxfId="67">
  <autoFilter ref="B78:E83" xr:uid="{D435EC9C-AF94-1943-BBDC-2F5584B86850}"/>
  <tableColumns count="4">
    <tableColumn id="1" xr3:uid="{1C50D151-1F6B-F347-AD11-7D4E91DBD149}" name="Column1" dataDxfId="66"/>
    <tableColumn id="2" xr3:uid="{2927CF84-14B2-6944-BD41-CC6449E65DA7}" name="Column2" dataDxfId="65"/>
    <tableColumn id="3" xr3:uid="{C31404F0-F1EC-A449-9260-BB67E9B9605F}" name="Column3" dataDxfId="64"/>
    <tableColumn id="4" xr3:uid="{472322F7-8A56-6B43-B024-153282510A17}" name="Column4" dataDxfId="6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C2E3BD9-AF88-D440-99CB-77B6CF083B29}" name="Table24" displayName="Table24" ref="B71:E76" totalsRowShown="0" headerRowDxfId="62" dataDxfId="61">
  <autoFilter ref="B71:E76" xr:uid="{8C2E3BD9-AF88-D440-99CB-77B6CF083B29}"/>
  <tableColumns count="4">
    <tableColumn id="1" xr3:uid="{D4857009-665B-684C-B7CD-59E25BCCE724}" name="Column1" dataDxfId="60"/>
    <tableColumn id="2" xr3:uid="{100000A6-C032-664B-B801-E75E6E2EDEC8}" name="Column2" dataDxfId="59"/>
    <tableColumn id="3" xr3:uid="{867070EE-BF3B-AD4A-B397-D54F6FBC5FFA}" name="Column3" dataDxfId="58"/>
    <tableColumn id="4" xr3:uid="{4658DFD7-FE88-0142-80EB-198B72234D9B}" name="Column4" dataDxfId="5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3371DC-98EC-FA42-BC8F-93210C42A6D7}" name="Table1" displayName="Table1" ref="B2:C40" totalsRowShown="0">
  <autoFilter ref="B2:C40" xr:uid="{D73371DC-98EC-FA42-BC8F-93210C42A6D7}"/>
  <sortState xmlns:xlrd2="http://schemas.microsoft.com/office/spreadsheetml/2017/richdata2" ref="B3:C40">
    <sortCondition ref="B2:B40"/>
  </sortState>
  <tableColumns count="2">
    <tableColumn id="1" xr3:uid="{EAB7A5E5-9F6F-DE4B-A079-1811CA08A417}" name="Category" dataDxfId="56"/>
    <tableColumn id="2" xr3:uid="{F8C41A38-7810-4640-80D5-5A3B128C3FC9}" name="Document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93D648-36F9-48FD-9736-54D084DE9FB7}" name="Table2" displayName="Table2" ref="B2:AH34" totalsRowShown="0" headerRowDxfId="34" dataDxfId="33">
  <autoFilter ref="B2:AH34" xr:uid="{5D93D648-36F9-48FD-9736-54D084DE9FB7}"/>
  <tableColumns count="33">
    <tableColumn id="31" xr3:uid="{921EA2CB-91D6-4016-A923-D2BE3310F5D1}" name="Review Index" dataDxfId="32">
      <calculatedColumnFormula>_xlfn.CONCAT(C3,"-","RVW.",D3,".",#REF!)</calculatedColumnFormula>
    </tableColumn>
    <tableColumn id="35" xr3:uid="{9CD71C23-085F-4DFE-93FE-E4397B6076A7}" name="Permit Number" dataDxfId="31">
      <calculatedColumnFormula>$C$3</calculatedColumnFormula>
    </tableColumn>
    <tableColumn id="1" xr3:uid="{038EECAB-05A7-45FF-BC57-68885C879FBC}" name="Review Cycle" dataDxfId="30"/>
    <tableColumn id="38" xr3:uid="{2F299DEF-F204-194D-AC44-2D1DCF28EAA7}" name="#" dataDxfId="29"/>
    <tableColumn id="2" xr3:uid="{6C3E3E85-30A3-4E0F-BE8F-51809EFE5FC8}" name="A" dataDxfId="28"/>
    <tableColumn id="3" xr3:uid="{D53F8350-386A-437A-9D1D-640C31E818BB}" name="B" dataDxfId="27"/>
    <tableColumn id="4" xr3:uid="{C021C10C-6D37-4619-ACB9-7E3C71E0DE2A}" name="C" dataDxfId="26"/>
    <tableColumn id="5" xr3:uid="{9BB1A606-23FC-45F1-BB53-551738A21DE5}" name="Review" dataDxfId="25">
      <calculatedColumnFormula>_xlfn.CONCAT(F3:H3)</calculatedColumnFormula>
    </tableColumn>
    <tableColumn id="32" xr3:uid="{B0DC97EF-02F4-4C36-8E10-8D302330A9B9}" name="Auto Fire" dataDxfId="24">
      <calculatedColumnFormula>#REF!</calculatedColumnFormula>
    </tableColumn>
    <tableColumn id="6" xr3:uid="{FE12C2F0-15F7-4186-888E-D10ACC37D220}" name="Staff Override" dataDxfId="23"/>
    <tableColumn id="7" xr3:uid="{60066164-3455-4F32-BD74-06CB8E45823B}" name="Req'd" dataDxfId="22">
      <calculatedColumnFormula>IF(OR(K3="Yes",K3="No"),K3,#REF!)</calculatedColumnFormula>
    </tableColumn>
    <tableColumn id="8" xr3:uid="{893F01DE-E055-4D7C-A297-B91A0A347255}" name="Notes" dataDxfId="21"/>
    <tableColumn id="9" xr3:uid="{16C1A8DA-7FD6-420D-934C-0001C7E0D63B}" name="Review Coordinator" dataDxfId="20" dataCellStyle="Hyperlink"/>
    <tableColumn id="10" xr3:uid="{3C76E8FD-155F-46FD-BF84-C55C37A37290}" name="Cycle 1 Days" dataDxfId="19"/>
    <tableColumn id="11" xr3:uid="{5FD49356-BBB0-48A7-95C3-437FCAEB5C9F}" name="Cycle 2 Days" dataDxfId="18"/>
    <tableColumn id="12" xr3:uid="{BD61D296-5E65-4DD8-8C1D-EEBB839CF2BC}" name="Status" dataDxfId="17"/>
    <tableColumn id="13" xr3:uid="{90FD910C-50C0-45DB-9FB1-52265C403377}" name="Allotted Time (Hours)" dataDxfId="16"/>
    <tableColumn id="14" xr3:uid="{061F846C-EFAC-4E62-9D35-4BD5CB17AE7C}" name="Actual Time (Hours)" dataDxfId="15"/>
    <tableColumn id="15" xr3:uid="{551B46AB-4BF0-406E-BAE4-065E0D64D638}" name="Delta (hrs)" dataDxfId="14"/>
    <tableColumn id="16" xr3:uid="{0742D29E-AB52-4D5C-873E-6F0DA4699AD7}" name="Hourly Rate" dataDxfId="13"/>
    <tableColumn id="17" xr3:uid="{9768ED94-D185-4F2A-A9BD-E5FFF43369E5}" name="Allotted Review Fee" dataDxfId="12"/>
    <tableColumn id="18" xr3:uid="{90EAEB37-BE54-489B-AB83-C4691E20506A}" name="Allotted Review Fee2" dataDxfId="11"/>
    <tableColumn id="19" xr3:uid="{8455BB82-A410-4CB5-A7E8-84EC438C5032}" name="Completed by" dataDxfId="10"/>
    <tableColumn id="20" xr3:uid="{65291329-2CB1-4A98-905F-A49ADE399B77}" name="Completed" dataDxfId="9">
      <calculatedColumnFormula>Y2</calculatedColumnFormula>
    </tableColumn>
    <tableColumn id="21" xr3:uid="{E9100D61-2D2D-40D3-A7C8-E80BC887A6AD}" name="Assigned To" dataDxfId="8"/>
    <tableColumn id="23" xr3:uid="{6AE2F9A8-7417-4175-B47F-D45BA90B6E7F}" name="Days Until Due" dataDxfId="7">
      <calculatedColumnFormula>NETWORKDAYS(TODAY(),AB3)</calculatedColumnFormula>
    </tableColumn>
    <tableColumn id="24" xr3:uid="{4FC3DAD4-0D80-4F6B-B475-F87E9C48B4EE}" name="Due" dataDxfId="6">
      <calculatedColumnFormula>IF(D3=1,WORKDAY(AD3,O3),WORKDAY(AD3,P3))</calculatedColumnFormula>
    </tableColumn>
    <tableColumn id="25" xr3:uid="{373DEF5A-71B6-4EDD-B6A4-68E6A6A97118}" name="Sent To" dataDxfId="5"/>
    <tableColumn id="26" xr3:uid="{0B78FEA1-81A4-470C-AEF6-3DB8542D6E68}" name="Sent" dataDxfId="4"/>
    <tableColumn id="27" xr3:uid="{979363B6-0C70-42E1-857C-5B245523EB30}" name="Age" dataDxfId="3">
      <calculatedColumnFormula>TODAY()-AD3</calculatedColumnFormula>
    </tableColumn>
    <tableColumn id="28" xr3:uid="{94AE3049-0693-46F0-8FC3-BCB6635C29DC}" name="Created by" dataDxfId="2"/>
    <tableColumn id="37" xr3:uid="{11D1F1E2-89D8-CE45-B8FE-E74BB149BB31}" name="Created Date" dataDxfId="1"/>
    <tableColumn id="36" xr3:uid="{23BDD9D9-4826-0647-AF5A-738373736860}" name="Created Ti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Susie.Dawlwy@YoloCounty.org" TargetMode="External"/><Relationship Id="rId13" Type="http://schemas.openxmlformats.org/officeDocument/2006/relationships/hyperlink" Target="mailto:Notify@ysaqmd.org" TargetMode="External"/><Relationship Id="rId18" Type="http://schemas.openxmlformats.org/officeDocument/2006/relationships/hyperlink" Target="mailto:Angelina.Espinoza@YoloCounty.org" TargetMode="External"/><Relationship Id="rId26" Type="http://schemas.openxmlformats.org/officeDocument/2006/relationships/printerSettings" Target="../printerSettings/printerSettings3.bin"/><Relationship Id="rId3" Type="http://schemas.openxmlformats.org/officeDocument/2006/relationships/hyperlink" Target="mailto:JD.Trebec@YoloCounty.org" TargetMode="External"/><Relationship Id="rId21" Type="http://schemas.openxmlformats.org/officeDocument/2006/relationships/hyperlink" Target="mailto:Marlin.Nardiello@YoloCounty.org" TargetMode="External"/><Relationship Id="rId7" Type="http://schemas.openxmlformats.org/officeDocument/2006/relationships/hyperlink" Target="mailto:Deborah.Anderson@YoloCounty.org" TargetMode="External"/><Relationship Id="rId12" Type="http://schemas.openxmlformats.org/officeDocument/2006/relationships/hyperlink" Target="mailto:Josue.Pimentel@YoloCounty.org" TargetMode="External"/><Relationship Id="rId17" Type="http://schemas.openxmlformats.org/officeDocument/2006/relationships/hyperlink" Target="mailto:building.division@yolocounty.org" TargetMode="External"/><Relationship Id="rId25" Type="http://schemas.openxmlformats.org/officeDocument/2006/relationships/hyperlink" Target="mailto:Shriti.Jeet@YoloCounty.org" TargetMode="External"/><Relationship Id="rId2" Type="http://schemas.openxmlformats.org/officeDocument/2006/relationships/hyperlink" Target="mailto:Tracy.Gonzalez@YoloCounty.org" TargetMode="External"/><Relationship Id="rId16" Type="http://schemas.openxmlformats.org/officeDocument/2006/relationships/hyperlink" Target="mailto:Jianmin.Huang@YoloCounty.org" TargetMode="External"/><Relationship Id="rId20" Type="http://schemas.openxmlformats.org/officeDocument/2006/relationships/hyperlink" Target="mailto:Chris.Rice@YoloCounty.org" TargetMode="External"/><Relationship Id="rId1" Type="http://schemas.openxmlformats.org/officeDocument/2006/relationships/hyperlink" Target="mailto:Pam.Hedrick@YoloCounty.org" TargetMode="External"/><Relationship Id="rId6" Type="http://schemas.openxmlformats.org/officeDocument/2006/relationships/hyperlink" Target="mailto:Stephanie.Cormier@YoloCounty.org" TargetMode="External"/><Relationship Id="rId11" Type="http://schemas.openxmlformats.org/officeDocument/2006/relationships/hyperlink" Target="mailto:Jair.Bautista@YoloCounty.org" TargetMode="External"/><Relationship Id="rId24" Type="http://schemas.openxmlformats.org/officeDocument/2006/relationships/hyperlink" Target="mailto:Shelby.Milliren@YoloCounty.org" TargetMode="External"/><Relationship Id="rId5" Type="http://schemas.openxmlformats.org/officeDocument/2006/relationships/hyperlink" Target="mailto:Jeff.Anderson@YoloCounty.org" TargetMode="External"/><Relationship Id="rId15" Type="http://schemas.openxmlformats.org/officeDocument/2006/relationships/hyperlink" Target="mailto:Cassandra.Mendoza@YoloCounty.org" TargetMode="External"/><Relationship Id="rId23" Type="http://schemas.openxmlformats.org/officeDocument/2006/relationships/hyperlink" Target="mailto:Maryam.Farhoodi@YoloCounty.org" TargetMode="External"/><Relationship Id="rId28" Type="http://schemas.openxmlformats.org/officeDocument/2006/relationships/table" Target="../tables/table5.xml"/><Relationship Id="rId10" Type="http://schemas.openxmlformats.org/officeDocument/2006/relationships/hyperlink" Target="mailto:Angelica.Yepez@YoloCounty.org" TargetMode="External"/><Relationship Id="rId19" Type="http://schemas.openxmlformats.org/officeDocument/2006/relationships/hyperlink" Target="mailto:Scott.Doolittle@yolocounty.org" TargetMode="External"/><Relationship Id="rId4" Type="http://schemas.openxmlformats.org/officeDocument/2006/relationships/hyperlink" Target="mailto:Charlie.Tschudin@YoloCounty.org" TargetMode="External"/><Relationship Id="rId9" Type="http://schemas.openxmlformats.org/officeDocument/2006/relationships/hyperlink" Target="mailto:Jeremy.vanhorn@yolocounty.org" TargetMode="External"/><Relationship Id="rId14" Type="http://schemas.openxmlformats.org/officeDocument/2006/relationships/hyperlink" Target="mailto:Dawne.Koranda@YoloCounty.org" TargetMode="External"/><Relationship Id="rId22" Type="http://schemas.openxmlformats.org/officeDocument/2006/relationships/hyperlink" Target="mailto:Josephine.Acevedo@yolocounty.org" TargetMode="External"/><Relationship Id="rId27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8" Type="http://schemas.openxmlformats.org/officeDocument/2006/relationships/control" Target="../activeX/activeX8.xml"/><Relationship Id="rId26" Type="http://schemas.openxmlformats.org/officeDocument/2006/relationships/image" Target="../media/image4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20" Type="http://schemas.openxmlformats.org/officeDocument/2006/relationships/control" Target="../activeX/activeX9.xml"/><Relationship Id="rId16" Type="http://schemas.openxmlformats.org/officeDocument/2006/relationships/control" Target="../activeX/activeX7.xml"/><Relationship Id="rId29" Type="http://schemas.openxmlformats.org/officeDocument/2006/relationships/image" Target="../media/image7.emf"/><Relationship Id="rId1" Type="http://schemas.openxmlformats.org/officeDocument/2006/relationships/printerSettings" Target="../printerSettings/printerSettings4.bin"/><Relationship Id="rId24" Type="http://schemas.openxmlformats.org/officeDocument/2006/relationships/image" Target="../media/image2.emf"/><Relationship Id="rId6" Type="http://schemas.openxmlformats.org/officeDocument/2006/relationships/control" Target="../activeX/activeX2.xml"/><Relationship Id="rId32" Type="http://schemas.openxmlformats.org/officeDocument/2006/relationships/image" Target="../media/image10.emf"/><Relationship Id="rId23" Type="http://schemas.openxmlformats.org/officeDocument/2006/relationships/image" Target="../media/image1.emf"/><Relationship Id="rId28" Type="http://schemas.openxmlformats.org/officeDocument/2006/relationships/image" Target="../media/image6.emf"/><Relationship Id="rId10" Type="http://schemas.openxmlformats.org/officeDocument/2006/relationships/control" Target="../activeX/activeX4.xml"/><Relationship Id="rId31" Type="http://schemas.openxmlformats.org/officeDocument/2006/relationships/image" Target="../media/image9.emf"/><Relationship Id="rId22" Type="http://schemas.openxmlformats.org/officeDocument/2006/relationships/control" Target="../activeX/activeX10.xml"/><Relationship Id="rId14" Type="http://schemas.openxmlformats.org/officeDocument/2006/relationships/control" Target="../activeX/activeX6.xml"/><Relationship Id="rId27" Type="http://schemas.openxmlformats.org/officeDocument/2006/relationships/image" Target="../media/image5.emf"/><Relationship Id="rId30" Type="http://schemas.openxmlformats.org/officeDocument/2006/relationships/image" Target="../media/image8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12" Type="http://schemas.openxmlformats.org/officeDocument/2006/relationships/table" Target="../tables/table18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mailto:Chris.Rice@YoloCounty.org" TargetMode="External"/><Relationship Id="rId18" Type="http://schemas.openxmlformats.org/officeDocument/2006/relationships/hyperlink" Target="mailto:Angelica.Yepez@YoloCounty.org" TargetMode="External"/><Relationship Id="rId26" Type="http://schemas.openxmlformats.org/officeDocument/2006/relationships/hyperlink" Target="mailto:Angelina.Espinoza@YoloCounty.org" TargetMode="External"/><Relationship Id="rId21" Type="http://schemas.openxmlformats.org/officeDocument/2006/relationships/hyperlink" Target="mailto:Angelica.Yepez@YoloCounty.org" TargetMode="External"/><Relationship Id="rId7" Type="http://schemas.openxmlformats.org/officeDocument/2006/relationships/hyperlink" Target="mailto:Angelina.Espinoza@YoloCounty.org" TargetMode="External"/><Relationship Id="rId12" Type="http://schemas.openxmlformats.org/officeDocument/2006/relationships/hyperlink" Target="mailto:Chris.Rice@YoloCounty.org" TargetMode="External"/><Relationship Id="rId17" Type="http://schemas.openxmlformats.org/officeDocument/2006/relationships/hyperlink" Target="mailto:Angelina.Espinoza@YoloCounty.org" TargetMode="External"/><Relationship Id="rId25" Type="http://schemas.openxmlformats.org/officeDocument/2006/relationships/hyperlink" Target="mailto:Chris.Rice@YoloCounty.org" TargetMode="External"/><Relationship Id="rId33" Type="http://schemas.openxmlformats.org/officeDocument/2006/relationships/control" Target="../activeX/activeX11.xml"/><Relationship Id="rId38" Type="http://schemas.openxmlformats.org/officeDocument/2006/relationships/table" Target="../tables/table20.xml"/><Relationship Id="rId2" Type="http://schemas.openxmlformats.org/officeDocument/2006/relationships/hyperlink" Target="mailto:Cassandra.Mendoza@YoloCounty.org" TargetMode="External"/><Relationship Id="rId16" Type="http://schemas.openxmlformats.org/officeDocument/2006/relationships/hyperlink" Target="mailto:Angelina.Espinoza@YoloCounty.org" TargetMode="External"/><Relationship Id="rId20" Type="http://schemas.openxmlformats.org/officeDocument/2006/relationships/hyperlink" Target="mailto:Angelica.Yepez@YoloCounty.org" TargetMode="External"/><Relationship Id="rId29" Type="http://schemas.openxmlformats.org/officeDocument/2006/relationships/hyperlink" Target="mailto:Cassandra.Mendoza@YoloCounty.org" TargetMode="External"/><Relationship Id="rId1" Type="http://schemas.openxmlformats.org/officeDocument/2006/relationships/hyperlink" Target="mailto:Dawne.Koranda@YoloCounty.org" TargetMode="External"/><Relationship Id="rId6" Type="http://schemas.openxmlformats.org/officeDocument/2006/relationships/hyperlink" Target="mailto:Notify@ysaqmd.org" TargetMode="External"/><Relationship Id="rId11" Type="http://schemas.openxmlformats.org/officeDocument/2006/relationships/hyperlink" Target="mailto:Chris.Rice@YoloCounty.org" TargetMode="External"/><Relationship Id="rId24" Type="http://schemas.openxmlformats.org/officeDocument/2006/relationships/hyperlink" Target="mailto:Angelica.Yepez@YoloCounty.org" TargetMode="External"/><Relationship Id="rId32" Type="http://schemas.openxmlformats.org/officeDocument/2006/relationships/vmlDrawing" Target="../drawings/vmlDrawing2.vml"/><Relationship Id="rId37" Type="http://schemas.openxmlformats.org/officeDocument/2006/relationships/image" Target="../media/image12.emf"/><Relationship Id="rId5" Type="http://schemas.openxmlformats.org/officeDocument/2006/relationships/hyperlink" Target="mailto:Jair.Bautista@YoloCounty.org" TargetMode="External"/><Relationship Id="rId15" Type="http://schemas.openxmlformats.org/officeDocument/2006/relationships/hyperlink" Target="mailto:Angelina.Espinoza@YoloCounty.org" TargetMode="External"/><Relationship Id="rId23" Type="http://schemas.openxmlformats.org/officeDocument/2006/relationships/hyperlink" Target="mailto:Chris.Rice@YoloCounty.org" TargetMode="External"/><Relationship Id="rId28" Type="http://schemas.openxmlformats.org/officeDocument/2006/relationships/hyperlink" Target="mailto:Cassandra.Mendoza@YoloCounty.org" TargetMode="External"/><Relationship Id="rId36" Type="http://schemas.openxmlformats.org/officeDocument/2006/relationships/image" Target="../media/image11.emf"/><Relationship Id="rId10" Type="http://schemas.openxmlformats.org/officeDocument/2006/relationships/hyperlink" Target="mailto:Chris.Rice@YoloCounty.org" TargetMode="External"/><Relationship Id="rId19" Type="http://schemas.openxmlformats.org/officeDocument/2006/relationships/hyperlink" Target="mailto:Angelica.Yepez@YoloCounty.org" TargetMode="External"/><Relationship Id="rId31" Type="http://schemas.openxmlformats.org/officeDocument/2006/relationships/drawing" Target="../drawings/drawing2.xml"/><Relationship Id="rId4" Type="http://schemas.openxmlformats.org/officeDocument/2006/relationships/hyperlink" Target="mailto:Tracy.Gonzalez@YoloCounty.org" TargetMode="External"/><Relationship Id="rId9" Type="http://schemas.openxmlformats.org/officeDocument/2006/relationships/hyperlink" Target="mailto:Chris.Rice@YoloCounty.org" TargetMode="External"/><Relationship Id="rId14" Type="http://schemas.openxmlformats.org/officeDocument/2006/relationships/hyperlink" Target="mailto:Scott.Doolittle@yolocounty.org" TargetMode="External"/><Relationship Id="rId22" Type="http://schemas.openxmlformats.org/officeDocument/2006/relationships/hyperlink" Target="mailto:Angelica.Yepez@YoloCounty.org" TargetMode="External"/><Relationship Id="rId27" Type="http://schemas.openxmlformats.org/officeDocument/2006/relationships/hyperlink" Target="mailto:Cassandra.Mendoza@YoloCounty.org" TargetMode="External"/><Relationship Id="rId30" Type="http://schemas.openxmlformats.org/officeDocument/2006/relationships/printerSettings" Target="../printerSettings/printerSettings6.bin"/><Relationship Id="rId35" Type="http://schemas.openxmlformats.org/officeDocument/2006/relationships/control" Target="../activeX/activeX12.xml"/><Relationship Id="rId8" Type="http://schemas.openxmlformats.org/officeDocument/2006/relationships/hyperlink" Target="mailto:Chris.Rice@YoloCounty.org" TargetMode="External"/><Relationship Id="rId3" Type="http://schemas.openxmlformats.org/officeDocument/2006/relationships/hyperlink" Target="mailto:Pam.Hedrick@YoloCounty.org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E3704-C3D3-4807-BA96-B557CC15AF85}">
  <sheetPr codeName="Sheet10">
    <pageSetUpPr fitToPage="1"/>
  </sheetPr>
  <dimension ref="B1:I20"/>
  <sheetViews>
    <sheetView showGridLines="0" zoomScaleNormal="150" zoomScaleSheetLayoutView="100" workbookViewId="0">
      <selection activeCell="B9" sqref="B9"/>
    </sheetView>
  </sheetViews>
  <sheetFormatPr defaultColWidth="9.14453125" defaultRowHeight="39.75" customHeight="1" x14ac:dyDescent="0.2"/>
  <cols>
    <col min="1" max="1" width="5.51171875" style="348" customWidth="1"/>
    <col min="2" max="2" width="20.84765625" style="348" customWidth="1"/>
    <col min="3" max="3" width="42.91015625" style="348" customWidth="1"/>
    <col min="4" max="4" width="23.80859375" style="348" customWidth="1"/>
    <col min="5" max="5" width="22.59765625" style="348" customWidth="1"/>
    <col min="6" max="6" width="8.7421875" style="348" customWidth="1"/>
    <col min="7" max="8" width="8.875" style="348" customWidth="1"/>
    <col min="9" max="9" width="8.47265625" style="348" customWidth="1"/>
    <col min="10" max="16384" width="9.14453125" style="348"/>
  </cols>
  <sheetData>
    <row r="1" spans="2:9" s="346" customFormat="1" ht="20.25" customHeight="1" x14ac:dyDescent="0.2"/>
    <row r="2" spans="2:9" s="350" customFormat="1" ht="39.75" customHeight="1" x14ac:dyDescent="0.2">
      <c r="B2" s="349" t="s">
        <v>0</v>
      </c>
      <c r="C2" s="347" t="s">
        <v>1</v>
      </c>
      <c r="D2" s="347" t="s">
        <v>2</v>
      </c>
      <c r="E2" s="347" t="s">
        <v>3</v>
      </c>
      <c r="F2" s="347" t="s">
        <v>4</v>
      </c>
      <c r="G2" s="349" t="s">
        <v>5</v>
      </c>
      <c r="H2" s="349" t="s">
        <v>6</v>
      </c>
      <c r="I2" s="349" t="s">
        <v>7</v>
      </c>
    </row>
    <row r="3" spans="2:9" s="350" customFormat="1" ht="39.75" customHeight="1" x14ac:dyDescent="0.2">
      <c r="B3" s="343" t="s">
        <v>8</v>
      </c>
      <c r="C3" s="344" t="s">
        <v>9</v>
      </c>
      <c r="D3" s="344"/>
      <c r="E3" s="344"/>
      <c r="F3" s="344" t="s">
        <v>10</v>
      </c>
      <c r="G3" s="343"/>
      <c r="H3" s="343"/>
      <c r="I3" s="343"/>
    </row>
    <row r="4" spans="2:9" ht="39.75" customHeight="1" x14ac:dyDescent="0.2">
      <c r="B4" s="344" t="s">
        <v>11</v>
      </c>
      <c r="C4" s="344" t="s">
        <v>12</v>
      </c>
      <c r="D4" s="344"/>
      <c r="E4" s="344"/>
      <c r="F4" s="344" t="s">
        <v>10</v>
      </c>
      <c r="G4" s="343"/>
      <c r="H4" s="343"/>
      <c r="I4" s="343"/>
    </row>
    <row r="5" spans="2:9" ht="39.75" customHeight="1" x14ac:dyDescent="0.2">
      <c r="B5" s="344" t="s">
        <v>13</v>
      </c>
      <c r="C5" s="344" t="s">
        <v>14</v>
      </c>
      <c r="D5" s="344"/>
      <c r="E5" s="344"/>
      <c r="F5" s="344" t="s">
        <v>10</v>
      </c>
      <c r="G5" s="343"/>
      <c r="H5" s="343"/>
      <c r="I5" s="343"/>
    </row>
    <row r="6" spans="2:9" ht="39.75" customHeight="1" x14ac:dyDescent="0.2">
      <c r="B6" s="343" t="s">
        <v>15</v>
      </c>
      <c r="C6" s="344" t="s">
        <v>16</v>
      </c>
      <c r="D6" s="344"/>
      <c r="E6" s="344"/>
      <c r="F6" s="344" t="s">
        <v>10</v>
      </c>
      <c r="G6" s="343"/>
      <c r="H6" s="343"/>
      <c r="I6" s="343"/>
    </row>
    <row r="7" spans="2:9" ht="39.75" customHeight="1" x14ac:dyDescent="0.2">
      <c r="B7" s="344" t="s">
        <v>17</v>
      </c>
      <c r="C7" s="344" t="s">
        <v>18</v>
      </c>
      <c r="D7" s="344"/>
      <c r="E7" s="344"/>
      <c r="F7" s="344" t="s">
        <v>10</v>
      </c>
      <c r="G7" s="343"/>
      <c r="H7" s="343"/>
      <c r="I7" s="343"/>
    </row>
    <row r="8" spans="2:9" ht="39.75" customHeight="1" x14ac:dyDescent="0.2">
      <c r="B8" s="343" t="s">
        <v>19</v>
      </c>
      <c r="C8" s="344" t="s">
        <v>20</v>
      </c>
      <c r="D8" s="344"/>
      <c r="E8" s="344"/>
      <c r="F8" s="344" t="s">
        <v>10</v>
      </c>
      <c r="G8" s="343"/>
      <c r="H8" s="343"/>
      <c r="I8" s="343"/>
    </row>
    <row r="9" spans="2:9" ht="60" customHeight="1" x14ac:dyDescent="0.2">
      <c r="B9" s="343" t="s">
        <v>21</v>
      </c>
      <c r="C9" s="344" t="s">
        <v>22</v>
      </c>
      <c r="D9" s="344"/>
      <c r="E9" s="344"/>
      <c r="F9" s="344" t="s">
        <v>10</v>
      </c>
      <c r="G9" s="343"/>
      <c r="H9" s="343"/>
      <c r="I9" s="343"/>
    </row>
    <row r="10" spans="2:9" ht="60" customHeight="1" x14ac:dyDescent="0.2">
      <c r="B10" s="354" t="s">
        <v>23</v>
      </c>
      <c r="C10" s="344" t="s">
        <v>24</v>
      </c>
      <c r="D10" s="344"/>
      <c r="E10" s="344"/>
      <c r="F10" s="344" t="s">
        <v>10</v>
      </c>
      <c r="G10" s="343"/>
      <c r="H10" s="343"/>
      <c r="I10" s="343"/>
    </row>
    <row r="11" spans="2:9" ht="39.75" customHeight="1" x14ac:dyDescent="0.2">
      <c r="B11" s="354" t="s">
        <v>25</v>
      </c>
      <c r="C11" s="344" t="s">
        <v>26</v>
      </c>
      <c r="D11" s="344"/>
      <c r="E11" s="344"/>
      <c r="F11" s="344" t="s">
        <v>10</v>
      </c>
      <c r="G11" s="343"/>
      <c r="H11" s="343"/>
      <c r="I11" s="343"/>
    </row>
    <row r="12" spans="2:9" ht="39.75" customHeight="1" x14ac:dyDescent="0.2">
      <c r="B12" s="355" t="s">
        <v>27</v>
      </c>
      <c r="C12" s="344" t="s">
        <v>28</v>
      </c>
      <c r="D12" s="344"/>
      <c r="E12" s="344"/>
      <c r="F12" s="344" t="s">
        <v>10</v>
      </c>
      <c r="G12" s="343"/>
      <c r="H12" s="343"/>
      <c r="I12" s="343"/>
    </row>
    <row r="13" spans="2:9" ht="39.75" customHeight="1" x14ac:dyDescent="0.2">
      <c r="B13" s="355" t="s">
        <v>29</v>
      </c>
      <c r="C13" s="344" t="s">
        <v>30</v>
      </c>
      <c r="D13" s="344"/>
      <c r="E13" s="344"/>
      <c r="F13" s="344" t="s">
        <v>10</v>
      </c>
      <c r="G13" s="343"/>
      <c r="H13" s="343"/>
      <c r="I13" s="343"/>
    </row>
    <row r="14" spans="2:9" ht="80.25" customHeight="1" x14ac:dyDescent="0.2">
      <c r="B14" s="354" t="s">
        <v>31</v>
      </c>
      <c r="C14" s="344" t="s">
        <v>32</v>
      </c>
      <c r="D14" s="344"/>
      <c r="E14" s="344"/>
      <c r="F14" s="344" t="s">
        <v>10</v>
      </c>
      <c r="G14" s="343"/>
      <c r="H14" s="343"/>
      <c r="I14" s="343"/>
    </row>
    <row r="15" spans="2:9" ht="80.25" customHeight="1" x14ac:dyDescent="0.2">
      <c r="B15" s="354" t="s">
        <v>33</v>
      </c>
      <c r="C15" s="344" t="s">
        <v>34</v>
      </c>
      <c r="D15" s="344"/>
      <c r="E15" s="344"/>
      <c r="F15" s="344" t="s">
        <v>10</v>
      </c>
      <c r="G15" s="343"/>
      <c r="H15" s="343"/>
      <c r="I15" s="343"/>
    </row>
    <row r="16" spans="2:9" ht="80.25" customHeight="1" x14ac:dyDescent="0.2">
      <c r="B16" s="354" t="s">
        <v>35</v>
      </c>
      <c r="C16" s="344" t="s">
        <v>36</v>
      </c>
      <c r="D16" s="344"/>
      <c r="E16" s="344"/>
      <c r="F16" s="344" t="s">
        <v>10</v>
      </c>
      <c r="G16" s="343"/>
      <c r="H16" s="343"/>
      <c r="I16" s="343"/>
    </row>
    <row r="17" spans="2:9" ht="39.75" customHeight="1" x14ac:dyDescent="0.2">
      <c r="B17" s="354" t="s">
        <v>37</v>
      </c>
      <c r="C17" s="344" t="s">
        <v>38</v>
      </c>
      <c r="D17" s="344"/>
      <c r="E17" s="344"/>
      <c r="F17" s="344" t="s">
        <v>10</v>
      </c>
      <c r="G17" s="343"/>
      <c r="H17" s="343"/>
      <c r="I17" s="343"/>
    </row>
    <row r="18" spans="2:9" ht="39.75" customHeight="1" x14ac:dyDescent="0.2">
      <c r="B18" s="354" t="s">
        <v>39</v>
      </c>
      <c r="C18" s="344" t="s">
        <v>40</v>
      </c>
      <c r="D18" s="344"/>
      <c r="E18" s="344"/>
      <c r="F18" s="344" t="s">
        <v>10</v>
      </c>
      <c r="G18" s="343"/>
      <c r="H18" s="343"/>
      <c r="I18" s="343"/>
    </row>
    <row r="19" spans="2:9" ht="39.75" customHeight="1" x14ac:dyDescent="0.2">
      <c r="B19" s="354" t="s">
        <v>41</v>
      </c>
      <c r="C19" s="344" t="s">
        <v>42</v>
      </c>
      <c r="D19" s="344"/>
      <c r="E19" s="344"/>
      <c r="F19" s="344" t="s">
        <v>10</v>
      </c>
      <c r="G19" s="343"/>
      <c r="H19" s="343"/>
      <c r="I19" s="343"/>
    </row>
    <row r="20" spans="2:9" ht="39.75" customHeight="1" x14ac:dyDescent="0.2">
      <c r="B20" s="354" t="s">
        <v>43</v>
      </c>
      <c r="C20" s="344" t="s">
        <v>44</v>
      </c>
      <c r="D20" s="344"/>
      <c r="E20" s="344"/>
      <c r="F20" s="344" t="s">
        <v>10</v>
      </c>
      <c r="G20" s="343"/>
      <c r="H20" s="343"/>
      <c r="I20" s="343"/>
    </row>
  </sheetData>
  <pageMargins left="0.7" right="0.7" top="0.75" bottom="0.75" header="0.3" footer="0.3"/>
  <pageSetup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8B21D-AE9E-A348-96FF-D14F4E65644B}">
  <dimension ref="A1"/>
  <sheetViews>
    <sheetView tabSelected="1" zoomScaleNormal="150" zoomScaleSheetLayoutView="100" workbookViewId="0">
      <selection activeCell="G15" sqref="G15"/>
    </sheetView>
  </sheetViews>
  <sheetFormatPr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7D7E-B70B-45F2-BE97-2705A7E09CC4}">
  <sheetPr codeName="Sheet8">
    <pageSetUpPr fitToPage="1"/>
  </sheetPr>
  <dimension ref="B1:H21"/>
  <sheetViews>
    <sheetView showGridLines="0" zoomScaleNormal="150" zoomScaleSheetLayoutView="100" workbookViewId="0">
      <selection activeCell="D21" sqref="D21"/>
    </sheetView>
  </sheetViews>
  <sheetFormatPr defaultColWidth="9.14453125" defaultRowHeight="39.75" customHeight="1" x14ac:dyDescent="0.2"/>
  <cols>
    <col min="1" max="1" width="5.51171875" style="348" customWidth="1"/>
    <col min="2" max="2" width="25.828125" style="348" customWidth="1"/>
    <col min="3" max="3" width="30.66796875" style="348" customWidth="1"/>
    <col min="4" max="4" width="44.12109375" style="348" customWidth="1"/>
    <col min="5" max="5" width="25.2890625" style="348" customWidth="1"/>
    <col min="6" max="6" width="21.1171875" style="348" customWidth="1"/>
    <col min="7" max="8" width="9.14453125" style="348" customWidth="1"/>
    <col min="9" max="16384" width="9.14453125" style="348"/>
  </cols>
  <sheetData>
    <row r="1" spans="2:8" s="346" customFormat="1" ht="20.25" customHeight="1" x14ac:dyDescent="0.2"/>
    <row r="2" spans="2:8" s="350" customFormat="1" ht="39.75" customHeight="1" x14ac:dyDescent="0.2">
      <c r="B2" s="349" t="s">
        <v>45</v>
      </c>
      <c r="C2" s="349" t="s">
        <v>46</v>
      </c>
      <c r="D2" s="347" t="s">
        <v>47</v>
      </c>
      <c r="E2" s="347" t="s">
        <v>48</v>
      </c>
      <c r="F2" s="347" t="s">
        <v>49</v>
      </c>
      <c r="G2" s="347" t="s">
        <v>50</v>
      </c>
      <c r="H2" s="347" t="s">
        <v>51</v>
      </c>
    </row>
    <row r="3" spans="2:8" ht="39.75" customHeight="1" x14ac:dyDescent="0.2">
      <c r="B3" s="351" t="s">
        <v>52</v>
      </c>
      <c r="C3" s="343" t="s">
        <v>53</v>
      </c>
      <c r="D3" s="344" t="s">
        <v>54</v>
      </c>
      <c r="E3" s="344" t="s">
        <v>55</v>
      </c>
      <c r="F3" s="344" t="s">
        <v>55</v>
      </c>
      <c r="G3" s="344"/>
      <c r="H3" s="344"/>
    </row>
    <row r="4" spans="2:8" ht="39.75" customHeight="1" x14ac:dyDescent="0.2">
      <c r="B4" s="351" t="s">
        <v>56</v>
      </c>
      <c r="C4" s="343" t="s">
        <v>57</v>
      </c>
      <c r="D4" s="344" t="s">
        <v>58</v>
      </c>
      <c r="E4" s="344" t="s">
        <v>55</v>
      </c>
      <c r="F4" s="344" t="s">
        <v>55</v>
      </c>
      <c r="G4" s="344"/>
      <c r="H4" s="344"/>
    </row>
    <row r="5" spans="2:8" ht="39.75" customHeight="1" x14ac:dyDescent="0.2">
      <c r="B5" s="351" t="s">
        <v>59</v>
      </c>
      <c r="C5" s="343" t="s">
        <v>60</v>
      </c>
      <c r="D5" s="344" t="s">
        <v>61</v>
      </c>
      <c r="E5" s="344" t="s">
        <v>62</v>
      </c>
      <c r="F5" s="344" t="s">
        <v>63</v>
      </c>
      <c r="G5" s="344"/>
      <c r="H5" s="344"/>
    </row>
    <row r="6" spans="2:8" ht="39.75" customHeight="1" x14ac:dyDescent="0.2">
      <c r="B6" s="352" t="s">
        <v>64</v>
      </c>
      <c r="C6" s="343" t="s">
        <v>65</v>
      </c>
      <c r="D6" s="344" t="s">
        <v>66</v>
      </c>
      <c r="E6" s="344" t="s">
        <v>67</v>
      </c>
      <c r="F6" s="344" t="s">
        <v>55</v>
      </c>
      <c r="G6" s="344"/>
      <c r="H6" s="344"/>
    </row>
    <row r="7" spans="2:8" ht="39.75" customHeight="1" x14ac:dyDescent="0.2">
      <c r="B7" s="353" t="s">
        <v>68</v>
      </c>
      <c r="C7" s="343" t="s">
        <v>53</v>
      </c>
      <c r="D7" s="344" t="s">
        <v>69</v>
      </c>
      <c r="E7" s="344" t="s">
        <v>64</v>
      </c>
      <c r="F7" s="344" t="s">
        <v>55</v>
      </c>
      <c r="G7" s="344"/>
      <c r="H7" s="344"/>
    </row>
    <row r="8" spans="2:8" ht="39.75" customHeight="1" x14ac:dyDescent="0.2">
      <c r="B8" s="352" t="s">
        <v>70</v>
      </c>
      <c r="C8" s="343" t="s">
        <v>60</v>
      </c>
      <c r="D8" s="344" t="s">
        <v>71</v>
      </c>
      <c r="E8" s="344" t="s">
        <v>72</v>
      </c>
      <c r="F8" s="344" t="s">
        <v>55</v>
      </c>
      <c r="G8" s="344"/>
      <c r="H8" s="344"/>
    </row>
    <row r="9" spans="2:8" ht="39.75" customHeight="1" x14ac:dyDescent="0.2">
      <c r="B9" s="352" t="s">
        <v>73</v>
      </c>
      <c r="C9" s="343" t="s">
        <v>74</v>
      </c>
      <c r="D9" s="344" t="s">
        <v>75</v>
      </c>
      <c r="E9" s="344" t="s">
        <v>55</v>
      </c>
      <c r="F9" s="344" t="s">
        <v>55</v>
      </c>
      <c r="G9" s="344"/>
      <c r="H9" s="344"/>
    </row>
    <row r="10" spans="2:8" ht="39.75" customHeight="1" x14ac:dyDescent="0.2">
      <c r="B10" s="351" t="s">
        <v>76</v>
      </c>
      <c r="C10" s="344" t="s">
        <v>77</v>
      </c>
      <c r="D10" s="344" t="s">
        <v>78</v>
      </c>
      <c r="E10" s="344" t="s">
        <v>55</v>
      </c>
      <c r="F10" s="344" t="s">
        <v>55</v>
      </c>
      <c r="G10" s="344"/>
      <c r="H10" s="344"/>
    </row>
    <row r="11" spans="2:8" ht="39.75" customHeight="1" x14ac:dyDescent="0.2">
      <c r="B11" s="351" t="s">
        <v>79</v>
      </c>
      <c r="C11" s="344" t="s">
        <v>77</v>
      </c>
      <c r="D11" s="344" t="s">
        <v>78</v>
      </c>
      <c r="E11" s="344" t="s">
        <v>55</v>
      </c>
      <c r="F11" s="344" t="s">
        <v>55</v>
      </c>
      <c r="G11" s="344"/>
      <c r="H11" s="344"/>
    </row>
    <row r="12" spans="2:8" ht="39.75" customHeight="1" x14ac:dyDescent="0.2">
      <c r="B12" s="352" t="s">
        <v>80</v>
      </c>
      <c r="C12" s="344" t="s">
        <v>77</v>
      </c>
      <c r="D12" s="345"/>
      <c r="E12" s="344"/>
      <c r="F12" s="345"/>
      <c r="G12" s="345"/>
      <c r="H12" s="345"/>
    </row>
    <row r="13" spans="2:8" ht="39.75" customHeight="1" x14ac:dyDescent="0.2">
      <c r="B13" s="352" t="s">
        <v>81</v>
      </c>
      <c r="C13" s="344" t="s">
        <v>77</v>
      </c>
      <c r="D13" s="345"/>
      <c r="E13" s="344"/>
      <c r="F13" s="345"/>
      <c r="G13" s="345"/>
      <c r="H13" s="345"/>
    </row>
    <row r="14" spans="2:8" ht="39.75" customHeight="1" x14ac:dyDescent="0.2">
      <c r="B14" s="352" t="s">
        <v>82</v>
      </c>
      <c r="C14" s="344" t="s">
        <v>83</v>
      </c>
      <c r="D14" s="344" t="s">
        <v>84</v>
      </c>
      <c r="E14" s="344" t="s">
        <v>85</v>
      </c>
      <c r="F14" s="344" t="s">
        <v>55</v>
      </c>
      <c r="G14" s="344"/>
      <c r="H14" s="344"/>
    </row>
    <row r="15" spans="2:8" ht="39.75" customHeight="1" x14ac:dyDescent="0.2">
      <c r="B15" s="352" t="s">
        <v>86</v>
      </c>
      <c r="C15" s="344" t="s">
        <v>87</v>
      </c>
      <c r="D15" s="344" t="s">
        <v>88</v>
      </c>
      <c r="E15" s="344" t="s">
        <v>89</v>
      </c>
      <c r="F15" s="344" t="s">
        <v>55</v>
      </c>
      <c r="G15" s="344"/>
      <c r="H15" s="344"/>
    </row>
    <row r="16" spans="2:8" ht="39.75" customHeight="1" x14ac:dyDescent="0.2">
      <c r="B16" s="351" t="s">
        <v>90</v>
      </c>
      <c r="C16" s="344" t="s">
        <v>77</v>
      </c>
      <c r="D16" s="344" t="s">
        <v>78</v>
      </c>
      <c r="E16" s="344" t="s">
        <v>91</v>
      </c>
      <c r="F16" s="351"/>
      <c r="G16" s="344"/>
      <c r="H16" s="344"/>
    </row>
    <row r="17" spans="2:8" ht="39.75" customHeight="1" x14ac:dyDescent="0.2">
      <c r="B17" s="352" t="s">
        <v>92</v>
      </c>
      <c r="C17" s="344" t="s">
        <v>53</v>
      </c>
      <c r="D17" s="344"/>
      <c r="E17" s="344"/>
      <c r="F17" s="344"/>
      <c r="G17" s="344"/>
      <c r="H17" s="344"/>
    </row>
    <row r="18" spans="2:8" ht="39.75" customHeight="1" x14ac:dyDescent="0.2">
      <c r="B18" s="352" t="s">
        <v>93</v>
      </c>
      <c r="C18" s="344" t="s">
        <v>53</v>
      </c>
      <c r="D18" s="344"/>
      <c r="E18" s="344"/>
      <c r="F18" s="344"/>
      <c r="G18" s="344"/>
      <c r="H18" s="344"/>
    </row>
    <row r="19" spans="2:8" ht="39.75" customHeight="1" x14ac:dyDescent="0.2">
      <c r="B19" s="352" t="s">
        <v>94</v>
      </c>
      <c r="C19" s="344" t="s">
        <v>53</v>
      </c>
      <c r="D19" s="344"/>
      <c r="E19" s="344"/>
      <c r="F19" s="344"/>
      <c r="G19" s="344"/>
      <c r="H19" s="344"/>
    </row>
    <row r="20" spans="2:8" ht="39.75" customHeight="1" x14ac:dyDescent="0.2">
      <c r="B20" s="352" t="s">
        <v>95</v>
      </c>
      <c r="C20" s="344" t="s">
        <v>53</v>
      </c>
      <c r="D20" s="344"/>
      <c r="E20" s="344"/>
      <c r="F20" s="344"/>
      <c r="G20" s="344"/>
      <c r="H20" s="344"/>
    </row>
    <row r="21" spans="2:8" ht="69.75" customHeight="1" x14ac:dyDescent="0.2">
      <c r="B21" s="353" t="s">
        <v>96</v>
      </c>
      <c r="C21" s="343" t="s">
        <v>57</v>
      </c>
      <c r="D21" s="344" t="s">
        <v>97</v>
      </c>
      <c r="E21" s="344" t="s">
        <v>98</v>
      </c>
      <c r="F21" s="344"/>
      <c r="G21" s="344"/>
      <c r="H21" s="344"/>
    </row>
  </sheetData>
  <pageMargins left="0.7" right="0.7" top="0.75" bottom="0.75" header="0.3" footer="0.3"/>
  <pageSetup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EC28A-80F2-2E40-9AAF-0D393BDFFFCD}">
  <sheetPr codeName="Sheet7"/>
  <dimension ref="A2:E37"/>
  <sheetViews>
    <sheetView showGridLines="0" zoomScaleNormal="150" zoomScaleSheetLayoutView="100" workbookViewId="0">
      <selection activeCell="D1" sqref="D1"/>
    </sheetView>
  </sheetViews>
  <sheetFormatPr defaultColWidth="8.609375" defaultRowHeight="39.75" customHeight="1" x14ac:dyDescent="0.2"/>
  <cols>
    <col min="1" max="1" width="5.37890625" style="332" customWidth="1"/>
    <col min="2" max="3" width="22.46484375" style="331" customWidth="1"/>
    <col min="4" max="4" width="64.16796875" style="331" customWidth="1"/>
    <col min="5" max="16384" width="8.609375" style="331"/>
  </cols>
  <sheetData>
    <row r="2" spans="1:5" ht="39.75" customHeight="1" x14ac:dyDescent="0.2">
      <c r="A2" s="329"/>
      <c r="B2" s="330" t="s">
        <v>99</v>
      </c>
      <c r="C2" s="330" t="s">
        <v>100</v>
      </c>
      <c r="D2" s="330" t="s">
        <v>101</v>
      </c>
      <c r="E2" s="329"/>
    </row>
    <row r="3" spans="1:5" ht="39.75" customHeight="1" x14ac:dyDescent="0.2">
      <c r="B3" s="333" t="s">
        <v>102</v>
      </c>
      <c r="C3" s="334" t="s">
        <v>103</v>
      </c>
      <c r="D3" s="335" t="s">
        <v>104</v>
      </c>
      <c r="E3" s="329"/>
    </row>
    <row r="4" spans="1:5" ht="39.75" customHeight="1" x14ac:dyDescent="0.2">
      <c r="B4" s="336" t="s">
        <v>102</v>
      </c>
      <c r="C4" s="337" t="s">
        <v>105</v>
      </c>
      <c r="D4" s="338" t="s">
        <v>106</v>
      </c>
      <c r="E4" s="329"/>
    </row>
    <row r="5" spans="1:5" ht="39.75" customHeight="1" x14ac:dyDescent="0.2">
      <c r="B5" s="336" t="s">
        <v>102</v>
      </c>
      <c r="C5" s="337" t="s">
        <v>91</v>
      </c>
      <c r="D5" s="338" t="s">
        <v>107</v>
      </c>
      <c r="E5" s="329"/>
    </row>
    <row r="6" spans="1:5" ht="39.75" customHeight="1" x14ac:dyDescent="0.2">
      <c r="B6" s="336" t="s">
        <v>102</v>
      </c>
      <c r="C6" s="337" t="s">
        <v>108</v>
      </c>
      <c r="D6" s="338" t="s">
        <v>109</v>
      </c>
      <c r="E6" s="329"/>
    </row>
    <row r="7" spans="1:5" ht="39.75" customHeight="1" x14ac:dyDescent="0.2">
      <c r="B7" s="336" t="s">
        <v>102</v>
      </c>
      <c r="C7" s="337" t="s">
        <v>110</v>
      </c>
      <c r="D7" s="338" t="s">
        <v>111</v>
      </c>
      <c r="E7" s="329"/>
    </row>
    <row r="8" spans="1:5" ht="39.75" customHeight="1" x14ac:dyDescent="0.2">
      <c r="B8" s="336" t="s">
        <v>102</v>
      </c>
      <c r="C8" s="337" t="s">
        <v>112</v>
      </c>
      <c r="D8" s="338" t="s">
        <v>113</v>
      </c>
      <c r="E8" s="329"/>
    </row>
    <row r="9" spans="1:5" ht="60" customHeight="1" x14ac:dyDescent="0.2">
      <c r="B9" s="336" t="s">
        <v>102</v>
      </c>
      <c r="C9" s="337" t="s">
        <v>114</v>
      </c>
      <c r="D9" s="338" t="s">
        <v>115</v>
      </c>
      <c r="E9" s="329"/>
    </row>
    <row r="10" spans="1:5" ht="60" customHeight="1" x14ac:dyDescent="0.2">
      <c r="B10" s="336" t="s">
        <v>102</v>
      </c>
      <c r="C10" s="337" t="s">
        <v>116</v>
      </c>
      <c r="D10" s="338" t="s">
        <v>117</v>
      </c>
      <c r="E10" s="329"/>
    </row>
    <row r="11" spans="1:5" ht="60" customHeight="1" x14ac:dyDescent="0.2">
      <c r="B11" s="336" t="s">
        <v>102</v>
      </c>
      <c r="C11" s="337" t="s">
        <v>118</v>
      </c>
      <c r="D11" s="338" t="s">
        <v>119</v>
      </c>
      <c r="E11" s="329"/>
    </row>
    <row r="12" spans="1:5" ht="69.75" customHeight="1" x14ac:dyDescent="0.2">
      <c r="B12" s="336" t="s">
        <v>102</v>
      </c>
      <c r="C12" s="337" t="s">
        <v>120</v>
      </c>
      <c r="D12" s="338" t="s">
        <v>121</v>
      </c>
      <c r="E12" s="329"/>
    </row>
    <row r="13" spans="1:5" ht="39.75" customHeight="1" x14ac:dyDescent="0.2">
      <c r="B13" s="336" t="s">
        <v>102</v>
      </c>
      <c r="C13" s="337" t="s">
        <v>122</v>
      </c>
      <c r="D13" s="338" t="s">
        <v>123</v>
      </c>
      <c r="E13" s="329"/>
    </row>
    <row r="14" spans="1:5" ht="39.75" customHeight="1" x14ac:dyDescent="0.2">
      <c r="A14" s="329"/>
      <c r="B14" s="339" t="s">
        <v>124</v>
      </c>
      <c r="C14" s="337" t="s">
        <v>125</v>
      </c>
      <c r="D14" s="338" t="s">
        <v>126</v>
      </c>
      <c r="E14" s="329"/>
    </row>
    <row r="15" spans="1:5" ht="39.75" customHeight="1" x14ac:dyDescent="0.2">
      <c r="A15" s="329"/>
      <c r="B15" s="339" t="s">
        <v>124</v>
      </c>
      <c r="C15" s="337" t="s">
        <v>127</v>
      </c>
      <c r="D15" s="338" t="s">
        <v>128</v>
      </c>
      <c r="E15" s="329"/>
    </row>
    <row r="16" spans="1:5" ht="39.75" customHeight="1" x14ac:dyDescent="0.2">
      <c r="A16" s="329"/>
      <c r="B16" s="339" t="s">
        <v>124</v>
      </c>
      <c r="C16" s="337" t="s">
        <v>129</v>
      </c>
      <c r="D16" s="338" t="s">
        <v>130</v>
      </c>
      <c r="E16" s="329"/>
    </row>
    <row r="17" spans="2:5" ht="39.75" customHeight="1" x14ac:dyDescent="0.2">
      <c r="B17" s="339" t="s">
        <v>124</v>
      </c>
      <c r="C17" s="337" t="s">
        <v>131</v>
      </c>
      <c r="D17" s="338" t="s">
        <v>132</v>
      </c>
      <c r="E17" s="329"/>
    </row>
    <row r="18" spans="2:5" ht="60" customHeight="1" x14ac:dyDescent="0.2">
      <c r="B18" s="339" t="s">
        <v>124</v>
      </c>
      <c r="C18" s="337" t="s">
        <v>133</v>
      </c>
      <c r="D18" s="338" t="s">
        <v>134</v>
      </c>
      <c r="E18" s="329"/>
    </row>
    <row r="19" spans="2:5" ht="39.75" customHeight="1" x14ac:dyDescent="0.2">
      <c r="B19" s="339" t="s">
        <v>124</v>
      </c>
      <c r="C19" s="337" t="s">
        <v>135</v>
      </c>
      <c r="D19" s="338" t="s">
        <v>136</v>
      </c>
      <c r="E19" s="329"/>
    </row>
    <row r="20" spans="2:5" ht="39.75" customHeight="1" x14ac:dyDescent="0.2">
      <c r="B20" s="339" t="s">
        <v>124</v>
      </c>
      <c r="C20" s="337" t="s">
        <v>137</v>
      </c>
      <c r="D20" s="338"/>
      <c r="E20" s="329"/>
    </row>
    <row r="21" spans="2:5" ht="39.75" customHeight="1" x14ac:dyDescent="0.2">
      <c r="B21" s="339" t="s">
        <v>124</v>
      </c>
      <c r="C21" s="337" t="s">
        <v>138</v>
      </c>
      <c r="D21" s="338"/>
      <c r="E21" s="329"/>
    </row>
    <row r="22" spans="2:5" ht="39.75" customHeight="1" x14ac:dyDescent="0.2">
      <c r="B22" s="339" t="s">
        <v>124</v>
      </c>
      <c r="C22" s="337" t="s">
        <v>139</v>
      </c>
      <c r="D22" s="338"/>
      <c r="E22" s="329"/>
    </row>
    <row r="23" spans="2:5" ht="39.75" customHeight="1" x14ac:dyDescent="0.2">
      <c r="B23" s="339" t="s">
        <v>124</v>
      </c>
      <c r="C23" s="337" t="s">
        <v>140</v>
      </c>
      <c r="D23" s="338"/>
      <c r="E23" s="329"/>
    </row>
    <row r="24" spans="2:5" ht="39.75" customHeight="1" x14ac:dyDescent="0.2">
      <c r="B24" s="339" t="s">
        <v>124</v>
      </c>
      <c r="C24" s="337" t="s">
        <v>141</v>
      </c>
      <c r="D24" s="338"/>
      <c r="E24" s="329"/>
    </row>
    <row r="25" spans="2:5" ht="39.75" customHeight="1" x14ac:dyDescent="0.2">
      <c r="B25" s="336" t="s">
        <v>142</v>
      </c>
      <c r="C25" s="337" t="s">
        <v>143</v>
      </c>
      <c r="D25" s="338" t="s">
        <v>144</v>
      </c>
      <c r="E25" s="329"/>
    </row>
    <row r="26" spans="2:5" ht="39.75" customHeight="1" x14ac:dyDescent="0.2">
      <c r="B26" s="336" t="s">
        <v>142</v>
      </c>
      <c r="C26" s="337" t="s">
        <v>125</v>
      </c>
      <c r="D26" s="338" t="s">
        <v>145</v>
      </c>
      <c r="E26" s="329"/>
    </row>
    <row r="27" spans="2:5" ht="39.75" customHeight="1" x14ac:dyDescent="0.2">
      <c r="B27" s="336" t="s">
        <v>142</v>
      </c>
      <c r="C27" s="337" t="s">
        <v>146</v>
      </c>
      <c r="D27" s="338" t="s">
        <v>147</v>
      </c>
      <c r="E27" s="329"/>
    </row>
    <row r="28" spans="2:5" ht="39.75" customHeight="1" x14ac:dyDescent="0.2">
      <c r="B28" s="336" t="s">
        <v>142</v>
      </c>
      <c r="C28" s="337" t="s">
        <v>148</v>
      </c>
      <c r="D28" s="338" t="s">
        <v>149</v>
      </c>
      <c r="E28" s="329"/>
    </row>
    <row r="29" spans="2:5" ht="39.75" customHeight="1" x14ac:dyDescent="0.2">
      <c r="B29" s="336" t="s">
        <v>142</v>
      </c>
      <c r="C29" s="337" t="s">
        <v>150</v>
      </c>
      <c r="D29" s="338" t="s">
        <v>151</v>
      </c>
      <c r="E29" s="329"/>
    </row>
    <row r="30" spans="2:5" ht="39.75" customHeight="1" x14ac:dyDescent="0.2">
      <c r="B30" s="336" t="s">
        <v>142</v>
      </c>
      <c r="C30" s="337" t="s">
        <v>129</v>
      </c>
      <c r="D30" s="338" t="s">
        <v>152</v>
      </c>
      <c r="E30" s="329"/>
    </row>
    <row r="31" spans="2:5" ht="39.75" customHeight="1" x14ac:dyDescent="0.2">
      <c r="B31" s="336" t="s">
        <v>142</v>
      </c>
      <c r="C31" s="337" t="s">
        <v>131</v>
      </c>
      <c r="D31" s="338" t="s">
        <v>153</v>
      </c>
      <c r="E31" s="329"/>
    </row>
    <row r="32" spans="2:5" ht="39.75" customHeight="1" x14ac:dyDescent="0.2">
      <c r="B32" s="336" t="s">
        <v>142</v>
      </c>
      <c r="C32" s="337" t="s">
        <v>154</v>
      </c>
      <c r="D32" s="338" t="s">
        <v>155</v>
      </c>
      <c r="E32" s="329"/>
    </row>
    <row r="33" spans="1:5" ht="60" customHeight="1" x14ac:dyDescent="0.2">
      <c r="B33" s="336" t="s">
        <v>142</v>
      </c>
      <c r="C33" s="337" t="s">
        <v>156</v>
      </c>
      <c r="D33" s="338" t="s">
        <v>157</v>
      </c>
      <c r="E33" s="329"/>
    </row>
    <row r="34" spans="1:5" ht="39.75" customHeight="1" x14ac:dyDescent="0.2">
      <c r="B34" s="336" t="s">
        <v>142</v>
      </c>
      <c r="C34" s="337" t="s">
        <v>158</v>
      </c>
      <c r="D34" s="338" t="s">
        <v>159</v>
      </c>
      <c r="E34" s="329"/>
    </row>
    <row r="35" spans="1:5" ht="39.75" customHeight="1" x14ac:dyDescent="0.2">
      <c r="B35" s="336" t="s">
        <v>142</v>
      </c>
      <c r="C35" s="337" t="s">
        <v>160</v>
      </c>
      <c r="D35" s="338" t="s">
        <v>161</v>
      </c>
      <c r="E35" s="329"/>
    </row>
    <row r="36" spans="1:5" ht="39.75" customHeight="1" x14ac:dyDescent="0.2">
      <c r="B36" s="340" t="s">
        <v>142</v>
      </c>
      <c r="C36" s="341" t="s">
        <v>162</v>
      </c>
      <c r="D36" s="342" t="s">
        <v>163</v>
      </c>
      <c r="E36" s="329"/>
    </row>
    <row r="37" spans="1:5" ht="39.75" customHeight="1" x14ac:dyDescent="0.2">
      <c r="A37" s="329"/>
      <c r="B37" s="329"/>
      <c r="C37" s="329"/>
      <c r="D37" s="329"/>
      <c r="E37" s="32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CEE3D-86C7-425D-AE82-05540C2DD1F4}">
  <sheetPr codeName="Sheet2"/>
  <dimension ref="B2:S40"/>
  <sheetViews>
    <sheetView showGridLines="0" zoomScale="115" zoomScaleNormal="115" workbookViewId="0">
      <selection activeCell="B2" sqref="B2"/>
    </sheetView>
  </sheetViews>
  <sheetFormatPr defaultColWidth="9.14453125" defaultRowHeight="15" x14ac:dyDescent="0.2"/>
  <cols>
    <col min="1" max="1" width="6.1875" style="317" customWidth="1"/>
    <col min="2" max="2" width="23.40625" style="317" customWidth="1"/>
    <col min="3" max="3" width="19.50390625" style="317" customWidth="1"/>
    <col min="4" max="4" width="6.05078125" style="317" customWidth="1"/>
    <col min="5" max="5" width="19.50390625" style="317" customWidth="1"/>
    <col min="6" max="6" width="8.875" style="317" customWidth="1"/>
    <col min="7" max="7" width="37.80078125" style="317" customWidth="1"/>
    <col min="8" max="18" width="7.3984375" style="317" customWidth="1"/>
    <col min="19" max="20" width="14.66015625" style="317" customWidth="1"/>
    <col min="21" max="21" width="13.85546875" style="317" customWidth="1"/>
    <col min="22" max="22" width="17.08203125" style="317" customWidth="1"/>
    <col min="23" max="23" width="16.140625" style="317" customWidth="1"/>
    <col min="24" max="24" width="16.94921875" style="317" customWidth="1"/>
    <col min="25" max="34" width="13.85546875" style="317" customWidth="1"/>
    <col min="35" max="16384" width="9.14453125" style="317"/>
  </cols>
  <sheetData>
    <row r="2" spans="2:19" s="318" customFormat="1" ht="41.25" x14ac:dyDescent="0.2">
      <c r="B2" s="307" t="s">
        <v>164</v>
      </c>
      <c r="C2" s="307" t="s">
        <v>165</v>
      </c>
      <c r="D2" s="307" t="s">
        <v>166</v>
      </c>
      <c r="E2" s="307" t="s">
        <v>167</v>
      </c>
      <c r="F2" s="320" t="s">
        <v>168</v>
      </c>
      <c r="G2" s="307" t="s">
        <v>169</v>
      </c>
      <c r="H2" s="320" t="s">
        <v>170</v>
      </c>
      <c r="I2" s="307" t="s">
        <v>171</v>
      </c>
      <c r="J2" s="307" t="s">
        <v>172</v>
      </c>
      <c r="K2" s="307" t="s">
        <v>173</v>
      </c>
      <c r="L2" s="307" t="s">
        <v>174</v>
      </c>
      <c r="M2" s="307" t="s">
        <v>175</v>
      </c>
      <c r="N2" s="307" t="s">
        <v>176</v>
      </c>
      <c r="O2" s="307" t="s">
        <v>33</v>
      </c>
      <c r="P2" s="307" t="s">
        <v>177</v>
      </c>
      <c r="Q2" s="307" t="s">
        <v>178</v>
      </c>
      <c r="R2" s="307" t="s">
        <v>179</v>
      </c>
    </row>
    <row r="3" spans="2:19" s="318" customFormat="1" ht="20.25" customHeight="1" x14ac:dyDescent="0.2">
      <c r="B3" s="322" t="s">
        <v>180</v>
      </c>
      <c r="C3" s="322" t="s">
        <v>181</v>
      </c>
      <c r="D3" s="322"/>
      <c r="E3" s="322" t="s">
        <v>182</v>
      </c>
      <c r="F3" s="322" t="s">
        <v>183</v>
      </c>
      <c r="G3" s="321" t="s">
        <v>184</v>
      </c>
      <c r="H3" s="323"/>
      <c r="I3" s="323">
        <v>1</v>
      </c>
      <c r="J3" s="323"/>
      <c r="K3" s="323"/>
      <c r="L3" s="323"/>
      <c r="M3" s="324"/>
      <c r="N3" s="324"/>
      <c r="O3" s="324"/>
      <c r="P3" s="324"/>
      <c r="Q3" s="324"/>
      <c r="R3" s="324"/>
    </row>
    <row r="4" spans="2:19" s="318" customFormat="1" ht="20.25" customHeight="1" x14ac:dyDescent="0.2">
      <c r="B4" s="322" t="s">
        <v>185</v>
      </c>
      <c r="C4" s="322" t="s">
        <v>186</v>
      </c>
      <c r="D4" s="322"/>
      <c r="E4" s="322" t="s">
        <v>187</v>
      </c>
      <c r="F4" s="322" t="str">
        <f t="shared" ref="F4:F26" si="0">CONCATENATE(LEFT(C4,1),D4,LEFT(E4,1))</f>
        <v>JA</v>
      </c>
      <c r="G4" s="321" t="s">
        <v>188</v>
      </c>
      <c r="H4" s="323">
        <v>1</v>
      </c>
      <c r="I4" s="323"/>
      <c r="J4" s="323"/>
      <c r="K4" s="323"/>
      <c r="L4" s="323"/>
      <c r="M4" s="324"/>
      <c r="N4" s="324"/>
      <c r="O4" s="324"/>
      <c r="P4" s="324"/>
      <c r="Q4" s="324"/>
      <c r="R4" s="324"/>
    </row>
    <row r="5" spans="2:19" s="318" customFormat="1" ht="20.25" customHeight="1" x14ac:dyDescent="0.2">
      <c r="B5" s="322" t="s">
        <v>189</v>
      </c>
      <c r="C5" s="322" t="s">
        <v>190</v>
      </c>
      <c r="D5" s="322"/>
      <c r="E5" s="322" t="s">
        <v>191</v>
      </c>
      <c r="F5" s="322" t="str">
        <f t="shared" si="0"/>
        <v>AE</v>
      </c>
      <c r="G5" s="321" t="s">
        <v>192</v>
      </c>
      <c r="H5" s="323"/>
      <c r="I5" s="323">
        <v>1</v>
      </c>
      <c r="J5" s="323">
        <v>1</v>
      </c>
      <c r="K5" s="323">
        <v>1</v>
      </c>
      <c r="L5" s="323">
        <v>1</v>
      </c>
      <c r="M5" s="324">
        <v>1</v>
      </c>
      <c r="N5" s="324"/>
      <c r="O5" s="324"/>
      <c r="P5" s="324"/>
      <c r="Q5" s="324"/>
      <c r="R5" s="324"/>
    </row>
    <row r="6" spans="2:19" s="318" customFormat="1" ht="20.25" customHeight="1" x14ac:dyDescent="0.2">
      <c r="B6" s="322" t="s">
        <v>189</v>
      </c>
      <c r="C6" s="322" t="s">
        <v>193</v>
      </c>
      <c r="D6" s="322"/>
      <c r="E6" s="322" t="s">
        <v>194</v>
      </c>
      <c r="F6" s="322" t="str">
        <f t="shared" si="0"/>
        <v>AY</v>
      </c>
      <c r="G6" s="321" t="s">
        <v>195</v>
      </c>
      <c r="H6" s="323"/>
      <c r="I6" s="323">
        <v>1</v>
      </c>
      <c r="J6" s="323">
        <v>1</v>
      </c>
      <c r="K6" s="323">
        <v>1</v>
      </c>
      <c r="L6" s="323">
        <v>1</v>
      </c>
      <c r="M6" s="324">
        <v>1</v>
      </c>
      <c r="N6" s="324"/>
      <c r="O6" s="324"/>
      <c r="P6" s="324"/>
      <c r="Q6" s="324"/>
      <c r="R6" s="324"/>
    </row>
    <row r="7" spans="2:19" s="318" customFormat="1" ht="20.25" customHeight="1" x14ac:dyDescent="0.2">
      <c r="B7" s="322" t="s">
        <v>189</v>
      </c>
      <c r="C7" s="322" t="s">
        <v>189</v>
      </c>
      <c r="D7" s="322"/>
      <c r="E7" s="322" t="s">
        <v>196</v>
      </c>
      <c r="F7" s="322" t="str">
        <f t="shared" si="0"/>
        <v>BD</v>
      </c>
      <c r="G7" s="321" t="s">
        <v>197</v>
      </c>
      <c r="H7" s="323"/>
      <c r="I7" s="323">
        <v>1</v>
      </c>
      <c r="J7" s="323">
        <v>1</v>
      </c>
      <c r="K7" s="323">
        <v>1</v>
      </c>
      <c r="L7" s="323">
        <v>1</v>
      </c>
      <c r="M7" s="324">
        <v>1</v>
      </c>
      <c r="N7" s="324"/>
      <c r="O7" s="324"/>
      <c r="P7" s="324"/>
      <c r="Q7" s="324"/>
      <c r="R7" s="324"/>
    </row>
    <row r="8" spans="2:19" s="318" customFormat="1" ht="20.25" customHeight="1" x14ac:dyDescent="0.2">
      <c r="B8" s="322" t="s">
        <v>189</v>
      </c>
      <c r="C8" s="322" t="s">
        <v>198</v>
      </c>
      <c r="D8" s="322"/>
      <c r="E8" s="322" t="s">
        <v>199</v>
      </c>
      <c r="F8" s="322" t="str">
        <f t="shared" si="0"/>
        <v>CR</v>
      </c>
      <c r="G8" s="321" t="s">
        <v>200</v>
      </c>
      <c r="H8" s="323"/>
      <c r="I8" s="323">
        <v>1</v>
      </c>
      <c r="J8" s="323">
        <v>1</v>
      </c>
      <c r="K8" s="323">
        <v>1</v>
      </c>
      <c r="L8" s="323">
        <v>1</v>
      </c>
      <c r="M8" s="324">
        <v>1</v>
      </c>
      <c r="N8" s="325"/>
      <c r="O8" s="325"/>
      <c r="P8" s="325"/>
      <c r="Q8" s="325"/>
      <c r="R8" s="325"/>
    </row>
    <row r="9" spans="2:19" s="318" customFormat="1" ht="20.25" customHeight="1" x14ac:dyDescent="0.2">
      <c r="B9" s="322" t="s">
        <v>189</v>
      </c>
      <c r="C9" s="322" t="s">
        <v>201</v>
      </c>
      <c r="D9" s="322"/>
      <c r="E9" s="322" t="s">
        <v>202</v>
      </c>
      <c r="F9" s="322" t="str">
        <f t="shared" si="0"/>
        <v>DK</v>
      </c>
      <c r="G9" s="321" t="s">
        <v>203</v>
      </c>
      <c r="H9" s="323"/>
      <c r="I9" s="323">
        <v>1</v>
      </c>
      <c r="J9" s="323">
        <v>1</v>
      </c>
      <c r="K9" s="323">
        <v>1</v>
      </c>
      <c r="L9" s="323">
        <v>1</v>
      </c>
      <c r="M9" s="324">
        <v>1</v>
      </c>
      <c r="N9" s="324"/>
      <c r="O9" s="324"/>
      <c r="P9" s="324"/>
      <c r="Q9" s="324"/>
      <c r="R9" s="324"/>
      <c r="S9" s="326"/>
    </row>
    <row r="10" spans="2:19" s="318" customFormat="1" ht="20.25" customHeight="1" x14ac:dyDescent="0.2">
      <c r="B10" s="322" t="s">
        <v>189</v>
      </c>
      <c r="C10" s="322" t="s">
        <v>204</v>
      </c>
      <c r="D10" s="322" t="s">
        <v>205</v>
      </c>
      <c r="E10" s="322" t="s">
        <v>206</v>
      </c>
      <c r="F10" s="322" t="str">
        <f t="shared" si="0"/>
        <v>MAN</v>
      </c>
      <c r="G10" s="321" t="s">
        <v>207</v>
      </c>
      <c r="H10" s="323"/>
      <c r="I10" s="323">
        <v>1</v>
      </c>
      <c r="J10" s="323">
        <v>1</v>
      </c>
      <c r="K10" s="323">
        <v>1</v>
      </c>
      <c r="L10" s="323">
        <v>1</v>
      </c>
      <c r="M10" s="324">
        <v>1</v>
      </c>
      <c r="N10" s="324"/>
      <c r="O10" s="324"/>
      <c r="P10" s="324"/>
      <c r="Q10" s="324"/>
      <c r="R10" s="324"/>
    </row>
    <row r="11" spans="2:19" s="318" customFormat="1" ht="20.25" customHeight="1" x14ac:dyDescent="0.2">
      <c r="B11" s="322" t="s">
        <v>189</v>
      </c>
      <c r="C11" s="322" t="s">
        <v>208</v>
      </c>
      <c r="D11" s="322" t="s">
        <v>209</v>
      </c>
      <c r="E11" s="322" t="s">
        <v>210</v>
      </c>
      <c r="F11" s="322" t="str">
        <f t="shared" si="0"/>
        <v>SPD</v>
      </c>
      <c r="G11" s="321" t="s">
        <v>211</v>
      </c>
      <c r="H11" s="323"/>
      <c r="I11" s="323">
        <v>1</v>
      </c>
      <c r="J11" s="323">
        <v>1</v>
      </c>
      <c r="K11" s="323">
        <v>1</v>
      </c>
      <c r="L11" s="323">
        <v>1</v>
      </c>
      <c r="M11" s="324">
        <v>1</v>
      </c>
      <c r="N11" s="324"/>
      <c r="O11" s="324"/>
      <c r="P11" s="324"/>
      <c r="Q11" s="324"/>
      <c r="R11" s="324"/>
    </row>
    <row r="12" spans="2:19" s="318" customFormat="1" ht="20.25" customHeight="1" x14ac:dyDescent="0.2">
      <c r="B12" s="322" t="s">
        <v>212</v>
      </c>
      <c r="C12" s="322" t="s">
        <v>213</v>
      </c>
      <c r="D12" s="322"/>
      <c r="E12" s="322" t="s">
        <v>214</v>
      </c>
      <c r="F12" s="322" t="str">
        <f t="shared" si="0"/>
        <v>CM</v>
      </c>
      <c r="G12" s="321" t="s">
        <v>215</v>
      </c>
      <c r="H12" s="323"/>
      <c r="I12" s="323">
        <v>1</v>
      </c>
      <c r="J12" s="323">
        <v>1</v>
      </c>
      <c r="K12" s="323"/>
      <c r="L12" s="323"/>
      <c r="M12" s="324"/>
      <c r="N12" s="324">
        <v>1</v>
      </c>
      <c r="O12" s="324"/>
      <c r="P12" s="324"/>
      <c r="Q12" s="324"/>
      <c r="R12" s="324"/>
    </row>
    <row r="13" spans="2:19" s="318" customFormat="1" ht="20.25" customHeight="1" x14ac:dyDescent="0.2">
      <c r="B13" s="322" t="s">
        <v>212</v>
      </c>
      <c r="C13" s="322" t="s">
        <v>216</v>
      </c>
      <c r="D13" s="322"/>
      <c r="E13" s="322" t="s">
        <v>217</v>
      </c>
      <c r="F13" s="322" t="str">
        <f t="shared" si="0"/>
        <v>DA</v>
      </c>
      <c r="G13" s="321" t="s">
        <v>218</v>
      </c>
      <c r="H13" s="323"/>
      <c r="I13" s="323">
        <v>1</v>
      </c>
      <c r="J13" s="323">
        <v>1</v>
      </c>
      <c r="K13" s="323"/>
      <c r="L13" s="323"/>
      <c r="M13" s="324"/>
      <c r="N13" s="324">
        <v>1</v>
      </c>
      <c r="O13" s="324"/>
      <c r="P13" s="324"/>
      <c r="Q13" s="324"/>
      <c r="R13" s="324"/>
    </row>
    <row r="14" spans="2:19" s="318" customFormat="1" ht="20.25" customHeight="1" x14ac:dyDescent="0.2">
      <c r="B14" s="322" t="s">
        <v>212</v>
      </c>
      <c r="C14" s="322" t="s">
        <v>219</v>
      </c>
      <c r="D14" s="322"/>
      <c r="E14" s="322" t="s">
        <v>220</v>
      </c>
      <c r="F14" s="322" t="str">
        <f t="shared" si="0"/>
        <v>JH</v>
      </c>
      <c r="G14" s="321" t="s">
        <v>221</v>
      </c>
      <c r="H14" s="323"/>
      <c r="I14" s="323">
        <v>1</v>
      </c>
      <c r="J14" s="323">
        <v>1</v>
      </c>
      <c r="K14" s="323"/>
      <c r="L14" s="323"/>
      <c r="M14" s="324"/>
      <c r="N14" s="324">
        <v>1</v>
      </c>
      <c r="O14" s="324"/>
      <c r="P14" s="324"/>
      <c r="Q14" s="324"/>
      <c r="R14" s="324"/>
    </row>
    <row r="15" spans="2:19" s="318" customFormat="1" ht="20.25" customHeight="1" x14ac:dyDescent="0.2">
      <c r="B15" s="322" t="s">
        <v>212</v>
      </c>
      <c r="C15" s="322" t="s">
        <v>222</v>
      </c>
      <c r="D15" s="322"/>
      <c r="E15" s="322" t="s">
        <v>223</v>
      </c>
      <c r="F15" s="322" t="str">
        <f t="shared" si="0"/>
        <v>JV</v>
      </c>
      <c r="G15" s="321" t="s">
        <v>224</v>
      </c>
      <c r="H15" s="323"/>
      <c r="I15" s="323">
        <v>1</v>
      </c>
      <c r="J15" s="323">
        <v>1</v>
      </c>
      <c r="K15" s="323"/>
      <c r="L15" s="323"/>
      <c r="M15" s="324"/>
      <c r="N15" s="324">
        <v>1</v>
      </c>
      <c r="O15" s="324"/>
      <c r="P15" s="324"/>
      <c r="Q15" s="324"/>
      <c r="R15" s="324"/>
    </row>
    <row r="16" spans="2:19" s="318" customFormat="1" ht="20.25" customHeight="1" x14ac:dyDescent="0.2">
      <c r="B16" s="322" t="s">
        <v>212</v>
      </c>
      <c r="C16" s="322" t="s">
        <v>225</v>
      </c>
      <c r="D16" s="322"/>
      <c r="E16" s="322" t="s">
        <v>226</v>
      </c>
      <c r="F16" s="322" t="str">
        <f t="shared" si="0"/>
        <v>SD</v>
      </c>
      <c r="G16" s="321" t="s">
        <v>227</v>
      </c>
      <c r="H16" s="323"/>
      <c r="I16" s="323">
        <v>1</v>
      </c>
      <c r="J16" s="323">
        <v>1</v>
      </c>
      <c r="K16" s="323"/>
      <c r="L16" s="323"/>
      <c r="M16" s="324"/>
      <c r="N16" s="324">
        <v>1</v>
      </c>
      <c r="O16" s="324"/>
      <c r="P16" s="324"/>
      <c r="Q16" s="324"/>
      <c r="R16" s="324"/>
    </row>
    <row r="17" spans="2:18" s="318" customFormat="1" ht="20.25" customHeight="1" x14ac:dyDescent="0.2">
      <c r="B17" s="322" t="s">
        <v>228</v>
      </c>
      <c r="C17" s="322" t="s">
        <v>229</v>
      </c>
      <c r="D17" s="322"/>
      <c r="E17" s="322" t="s">
        <v>230</v>
      </c>
      <c r="F17" s="322" t="str">
        <f t="shared" si="0"/>
        <v>SJ</v>
      </c>
      <c r="G17" s="321" t="s">
        <v>231</v>
      </c>
      <c r="H17" s="323"/>
      <c r="I17" s="323"/>
      <c r="J17" s="323"/>
      <c r="K17" s="323"/>
      <c r="L17" s="323">
        <v>1</v>
      </c>
      <c r="M17" s="324"/>
      <c r="N17" s="324"/>
      <c r="O17" s="324">
        <v>1</v>
      </c>
      <c r="P17" s="324"/>
      <c r="Q17" s="324"/>
      <c r="R17" s="324"/>
    </row>
    <row r="18" spans="2:18" s="318" customFormat="1" ht="20.25" customHeight="1" x14ac:dyDescent="0.2">
      <c r="B18" s="322" t="s">
        <v>228</v>
      </c>
      <c r="C18" s="322" t="s">
        <v>232</v>
      </c>
      <c r="D18" s="322"/>
      <c r="E18" s="322" t="s">
        <v>233</v>
      </c>
      <c r="F18" s="322" t="str">
        <f t="shared" si="0"/>
        <v>SM</v>
      </c>
      <c r="G18" s="321" t="s">
        <v>234</v>
      </c>
      <c r="H18" s="323"/>
      <c r="I18" s="323"/>
      <c r="J18" s="323"/>
      <c r="K18" s="323"/>
      <c r="L18" s="323">
        <v>1</v>
      </c>
      <c r="M18" s="324"/>
      <c r="N18" s="324"/>
      <c r="O18" s="324">
        <v>1</v>
      </c>
      <c r="P18" s="324"/>
      <c r="Q18" s="324"/>
      <c r="R18" s="324"/>
    </row>
    <row r="19" spans="2:18" s="318" customFormat="1" ht="20.25" customHeight="1" x14ac:dyDescent="0.2">
      <c r="B19" s="322" t="s">
        <v>228</v>
      </c>
      <c r="C19" s="322" t="s">
        <v>235</v>
      </c>
      <c r="D19" s="322"/>
      <c r="E19" s="322" t="s">
        <v>236</v>
      </c>
      <c r="F19" s="322" t="str">
        <f t="shared" si="0"/>
        <v>MF</v>
      </c>
      <c r="G19" s="321" t="s">
        <v>237</v>
      </c>
      <c r="H19" s="323"/>
      <c r="I19" s="323"/>
      <c r="J19" s="323"/>
      <c r="K19" s="323"/>
      <c r="L19" s="323">
        <v>1</v>
      </c>
      <c r="M19" s="324"/>
      <c r="N19" s="324"/>
      <c r="O19" s="324">
        <v>1</v>
      </c>
      <c r="P19" s="324"/>
      <c r="Q19" s="324"/>
      <c r="R19" s="324"/>
    </row>
    <row r="20" spans="2:18" s="318" customFormat="1" ht="20.25" customHeight="1" x14ac:dyDescent="0.2">
      <c r="B20" s="322" t="s">
        <v>177</v>
      </c>
      <c r="C20" s="322" t="s">
        <v>238</v>
      </c>
      <c r="D20" s="322"/>
      <c r="E20" s="322" t="s">
        <v>239</v>
      </c>
      <c r="F20" s="322" t="str">
        <f t="shared" si="0"/>
        <v>PH</v>
      </c>
      <c r="G20" s="321" t="s">
        <v>240</v>
      </c>
      <c r="H20" s="323"/>
      <c r="I20" s="323">
        <v>1</v>
      </c>
      <c r="J20" s="323">
        <v>1</v>
      </c>
      <c r="K20" s="323">
        <v>1</v>
      </c>
      <c r="L20" s="323"/>
      <c r="M20" s="324"/>
      <c r="N20" s="324"/>
      <c r="O20" s="324"/>
      <c r="P20" s="324">
        <v>1</v>
      </c>
      <c r="Q20" s="324"/>
      <c r="R20" s="324"/>
    </row>
    <row r="21" spans="2:18" s="318" customFormat="1" ht="20.25" customHeight="1" x14ac:dyDescent="0.2">
      <c r="B21" s="322" t="s">
        <v>241</v>
      </c>
      <c r="C21" s="322" t="s">
        <v>242</v>
      </c>
      <c r="D21" s="322"/>
      <c r="E21" s="322" t="s">
        <v>243</v>
      </c>
      <c r="F21" s="322" t="str">
        <f t="shared" si="0"/>
        <v>CT</v>
      </c>
      <c r="G21" s="321" t="s">
        <v>244</v>
      </c>
      <c r="H21" s="323"/>
      <c r="I21" s="323">
        <v>1</v>
      </c>
      <c r="J21" s="323">
        <v>1</v>
      </c>
      <c r="K21" s="323">
        <v>1</v>
      </c>
      <c r="L21" s="323"/>
      <c r="M21" s="324"/>
      <c r="N21" s="324"/>
      <c r="O21" s="324"/>
      <c r="P21" s="324"/>
      <c r="Q21" s="324">
        <v>1</v>
      </c>
      <c r="R21" s="324"/>
    </row>
    <row r="22" spans="2:18" s="318" customFormat="1" ht="20.25" customHeight="1" x14ac:dyDescent="0.2">
      <c r="B22" s="322" t="s">
        <v>241</v>
      </c>
      <c r="C22" s="322" t="s">
        <v>245</v>
      </c>
      <c r="D22" s="322"/>
      <c r="E22" s="322" t="s">
        <v>217</v>
      </c>
      <c r="F22" s="322" t="str">
        <f t="shared" si="0"/>
        <v>JA</v>
      </c>
      <c r="G22" s="321" t="s">
        <v>246</v>
      </c>
      <c r="H22" s="323"/>
      <c r="I22" s="323">
        <v>1</v>
      </c>
      <c r="J22" s="323">
        <v>1</v>
      </c>
      <c r="K22" s="323">
        <v>1</v>
      </c>
      <c r="L22" s="323"/>
      <c r="M22" s="324"/>
      <c r="N22" s="324"/>
      <c r="O22" s="324"/>
      <c r="P22" s="324"/>
      <c r="Q22" s="324">
        <v>1</v>
      </c>
      <c r="R22" s="324"/>
    </row>
    <row r="23" spans="2:18" s="318" customFormat="1" ht="20.25" customHeight="1" x14ac:dyDescent="0.2">
      <c r="B23" s="322" t="s">
        <v>241</v>
      </c>
      <c r="C23" s="322" t="s">
        <v>247</v>
      </c>
      <c r="D23" s="322"/>
      <c r="E23" s="322" t="s">
        <v>248</v>
      </c>
      <c r="F23" s="322" t="str">
        <f t="shared" si="0"/>
        <v>JT</v>
      </c>
      <c r="G23" s="321" t="s">
        <v>249</v>
      </c>
      <c r="H23" s="323"/>
      <c r="I23" s="323">
        <v>1</v>
      </c>
      <c r="J23" s="323">
        <v>1</v>
      </c>
      <c r="K23" s="323">
        <v>1</v>
      </c>
      <c r="L23" s="323"/>
      <c r="M23" s="324"/>
      <c r="N23" s="324"/>
      <c r="O23" s="324"/>
      <c r="P23" s="324"/>
      <c r="Q23" s="324">
        <v>1</v>
      </c>
      <c r="R23" s="324"/>
    </row>
    <row r="24" spans="2:18" s="318" customFormat="1" ht="20.25" customHeight="1" x14ac:dyDescent="0.2">
      <c r="B24" s="322" t="s">
        <v>241</v>
      </c>
      <c r="C24" s="322" t="s">
        <v>250</v>
      </c>
      <c r="D24" s="322"/>
      <c r="E24" s="322" t="s">
        <v>251</v>
      </c>
      <c r="F24" s="322" t="str">
        <f t="shared" si="0"/>
        <v>SC</v>
      </c>
      <c r="G24" s="321" t="s">
        <v>252</v>
      </c>
      <c r="H24" s="323"/>
      <c r="I24" s="323">
        <v>1</v>
      </c>
      <c r="J24" s="323">
        <v>1</v>
      </c>
      <c r="K24" s="323">
        <v>1</v>
      </c>
      <c r="L24" s="323"/>
      <c r="M24" s="324"/>
      <c r="N24" s="324"/>
      <c r="O24" s="324"/>
      <c r="P24" s="324"/>
      <c r="Q24" s="324">
        <v>1</v>
      </c>
      <c r="R24" s="324"/>
    </row>
    <row r="25" spans="2:18" s="318" customFormat="1" ht="20.25" customHeight="1" x14ac:dyDescent="0.2">
      <c r="B25" s="322" t="s">
        <v>241</v>
      </c>
      <c r="C25" s="322" t="s">
        <v>253</v>
      </c>
      <c r="D25" s="322"/>
      <c r="E25" s="322" t="s">
        <v>254</v>
      </c>
      <c r="F25" s="322" t="str">
        <f t="shared" si="0"/>
        <v>TG</v>
      </c>
      <c r="G25" s="321" t="s">
        <v>255</v>
      </c>
      <c r="H25" s="323"/>
      <c r="I25" s="323">
        <v>1</v>
      </c>
      <c r="J25" s="323">
        <v>1</v>
      </c>
      <c r="K25" s="323">
        <v>1</v>
      </c>
      <c r="L25" s="323"/>
      <c r="M25" s="324"/>
      <c r="N25" s="324"/>
      <c r="O25" s="324"/>
      <c r="P25" s="324"/>
      <c r="Q25" s="324">
        <v>1</v>
      </c>
      <c r="R25" s="324"/>
    </row>
    <row r="26" spans="2:18" s="318" customFormat="1" ht="20.25" customHeight="1" x14ac:dyDescent="0.2">
      <c r="B26" s="322" t="s">
        <v>256</v>
      </c>
      <c r="C26" s="322" t="s">
        <v>257</v>
      </c>
      <c r="D26" s="322"/>
      <c r="E26" s="322" t="s">
        <v>258</v>
      </c>
      <c r="F26" s="322" t="str">
        <f t="shared" si="0"/>
        <v>JB</v>
      </c>
      <c r="G26" s="321" t="s">
        <v>259</v>
      </c>
      <c r="H26" s="323"/>
      <c r="I26" s="323">
        <v>1</v>
      </c>
      <c r="J26" s="323">
        <v>1</v>
      </c>
      <c r="K26" s="323">
        <v>1</v>
      </c>
      <c r="L26" s="323"/>
      <c r="M26" s="324"/>
      <c r="N26" s="324"/>
      <c r="O26" s="324"/>
      <c r="P26" s="324"/>
      <c r="Q26" s="324"/>
      <c r="R26" s="324">
        <v>1</v>
      </c>
    </row>
    <row r="27" spans="2:18" s="318" customFormat="1" ht="20.25" customHeight="1" x14ac:dyDescent="0.2">
      <c r="B27" s="322" t="s">
        <v>256</v>
      </c>
      <c r="C27" s="322" t="s">
        <v>260</v>
      </c>
      <c r="D27" s="322"/>
      <c r="E27" s="322" t="s">
        <v>261</v>
      </c>
      <c r="F27" s="322" t="str">
        <f>CONCATENATE(LEFT(C27,1),D27,LEFT(E27,1))</f>
        <v>JP</v>
      </c>
      <c r="G27" s="321" t="s">
        <v>262</v>
      </c>
      <c r="H27" s="323"/>
      <c r="I27" s="323">
        <v>1</v>
      </c>
      <c r="J27" s="323">
        <v>1</v>
      </c>
      <c r="K27" s="323">
        <v>1</v>
      </c>
      <c r="L27" s="323"/>
      <c r="M27" s="324"/>
      <c r="N27" s="324"/>
      <c r="O27" s="324"/>
      <c r="P27" s="324"/>
      <c r="Q27" s="324"/>
      <c r="R27" s="324">
        <v>1</v>
      </c>
    </row>
    <row r="28" spans="2:18" s="318" customFormat="1" ht="20.25" customHeight="1" x14ac:dyDescent="0.2">
      <c r="H28" s="327">
        <f>SUM(H3:H27)</f>
        <v>1</v>
      </c>
      <c r="I28" s="327">
        <f t="shared" ref="I28:J28" si="1">SUM(I3:I27)</f>
        <v>21</v>
      </c>
      <c r="J28" s="327">
        <f t="shared" si="1"/>
        <v>20</v>
      </c>
      <c r="K28" s="327">
        <f t="shared" ref="K28:R28" si="2">SUM(K3:K27)</f>
        <v>15</v>
      </c>
      <c r="L28" s="327">
        <f t="shared" si="2"/>
        <v>10</v>
      </c>
      <c r="M28" s="328">
        <f t="shared" si="2"/>
        <v>7</v>
      </c>
      <c r="N28" s="328">
        <f t="shared" si="2"/>
        <v>5</v>
      </c>
      <c r="O28" s="328">
        <f t="shared" si="2"/>
        <v>3</v>
      </c>
      <c r="P28" s="328">
        <f t="shared" si="2"/>
        <v>1</v>
      </c>
      <c r="Q28" s="328">
        <f t="shared" si="2"/>
        <v>5</v>
      </c>
      <c r="R28" s="328">
        <f t="shared" si="2"/>
        <v>2</v>
      </c>
    </row>
    <row r="29" spans="2:18" s="318" customFormat="1" ht="20.25" customHeight="1" x14ac:dyDescent="0.2">
      <c r="B29" s="307" t="s">
        <v>263</v>
      </c>
    </row>
    <row r="30" spans="2:18" s="318" customFormat="1" ht="20.25" customHeight="1" x14ac:dyDescent="0.2">
      <c r="B30" s="322" t="s">
        <v>180</v>
      </c>
    </row>
    <row r="31" spans="2:18" s="318" customFormat="1" ht="20.25" customHeight="1" x14ac:dyDescent="0.2">
      <c r="B31" s="322" t="s">
        <v>185</v>
      </c>
    </row>
    <row r="32" spans="2:18" s="318" customFormat="1" ht="20.25" customHeight="1" x14ac:dyDescent="0.2">
      <c r="B32" s="322" t="s">
        <v>189</v>
      </c>
    </row>
    <row r="33" spans="2:2" s="318" customFormat="1" ht="20.25" customHeight="1" x14ac:dyDescent="0.2">
      <c r="B33" s="322" t="s">
        <v>264</v>
      </c>
    </row>
    <row r="34" spans="2:2" s="318" customFormat="1" ht="20.25" customHeight="1" x14ac:dyDescent="0.2">
      <c r="B34" s="322" t="s">
        <v>265</v>
      </c>
    </row>
    <row r="35" spans="2:2" s="318" customFormat="1" ht="20.25" customHeight="1" x14ac:dyDescent="0.2">
      <c r="B35" s="322" t="s">
        <v>212</v>
      </c>
    </row>
    <row r="36" spans="2:2" s="318" customFormat="1" ht="20.25" customHeight="1" x14ac:dyDescent="0.2">
      <c r="B36" s="322" t="s">
        <v>266</v>
      </c>
    </row>
    <row r="37" spans="2:2" s="318" customFormat="1" ht="20.25" customHeight="1" x14ac:dyDescent="0.2">
      <c r="B37" s="322" t="s">
        <v>228</v>
      </c>
    </row>
    <row r="38" spans="2:2" s="318" customFormat="1" ht="20.25" customHeight="1" x14ac:dyDescent="0.2">
      <c r="B38" s="322" t="s">
        <v>177</v>
      </c>
    </row>
    <row r="39" spans="2:2" s="318" customFormat="1" ht="20.25" customHeight="1" x14ac:dyDescent="0.2">
      <c r="B39" s="322" t="s">
        <v>241</v>
      </c>
    </row>
    <row r="40" spans="2:2" s="318" customFormat="1" ht="20.25" customHeight="1" x14ac:dyDescent="0.2">
      <c r="B40" s="322" t="s">
        <v>256</v>
      </c>
    </row>
  </sheetData>
  <sortState xmlns:xlrd2="http://schemas.microsoft.com/office/spreadsheetml/2017/richdata2" ref="B30:B40">
    <sortCondition ref="B30:B40"/>
  </sortState>
  <dataValidations count="2">
    <dataValidation type="list" allowBlank="1" showInputMessage="1" showErrorMessage="1" sqref="B3:B27" xr:uid="{A4F14907-9907-485B-8995-1E33E63B7BE9}">
      <formula1>$B$30:$B$40</formula1>
    </dataValidation>
    <dataValidation type="list" allowBlank="1" showInputMessage="1" showErrorMessage="1" sqref="H3:R27" xr:uid="{A193737A-283F-4F36-B371-348E81C46F9F}">
      <formula1>"0,1"</formula1>
    </dataValidation>
  </dataValidations>
  <hyperlinks>
    <hyperlink ref="G20" r:id="rId1" xr:uid="{5928AF6C-87BD-4B91-8284-04660244A4AA}"/>
    <hyperlink ref="G25" r:id="rId2" xr:uid="{5A452A98-4AFF-457E-AB6D-84336D0567CD}"/>
    <hyperlink ref="G23" r:id="rId3" xr:uid="{FAE1118D-4C8E-41FE-A271-71AF435E8450}"/>
    <hyperlink ref="G21" r:id="rId4" xr:uid="{B90751B4-B158-4321-8F8B-5121F00740C3}"/>
    <hyperlink ref="G22" r:id="rId5" xr:uid="{03834657-FFE3-4901-96FD-3E21854657B9}"/>
    <hyperlink ref="G24" r:id="rId6" xr:uid="{994D56C9-7508-4D1E-A148-3342CEC2200D}"/>
    <hyperlink ref="G13" r:id="rId7" xr:uid="{0D7A6935-A0B8-4273-A87F-B07973E0C1A3}"/>
    <hyperlink ref="G16" r:id="rId8" xr:uid="{7063D062-ACF1-4EEA-B901-55133FA5959F}"/>
    <hyperlink ref="G15" r:id="rId9" xr:uid="{07DC3E47-F015-4824-ADF5-2AD1AD687B1F}"/>
    <hyperlink ref="G6" r:id="rId10" xr:uid="{953B6AB8-930C-441C-B904-476C03DF1338}"/>
    <hyperlink ref="G26" r:id="rId11" xr:uid="{B7151CA6-C442-4C97-A39C-D38D011582D3}"/>
    <hyperlink ref="G27" r:id="rId12" xr:uid="{8734B130-8951-48F8-957D-DFC1B437320F}"/>
    <hyperlink ref="G3" r:id="rId13" xr:uid="{522D5452-0032-4BE3-AF56-B0D60D6289DF}"/>
    <hyperlink ref="G9" r:id="rId14" xr:uid="{B9E0CBCB-F9CF-4C94-B794-1F443544D1EF}"/>
    <hyperlink ref="G12" r:id="rId15" xr:uid="{7EB4D823-B480-43E7-B658-5AC7A8860F9E}"/>
    <hyperlink ref="G14" r:id="rId16" xr:uid="{94E9DA41-BF18-4D5E-901C-B0AE89D05724}"/>
    <hyperlink ref="G7" r:id="rId17" xr:uid="{F16AB7B2-2030-434D-9F04-134FE41107E1}"/>
    <hyperlink ref="G5" r:id="rId18" xr:uid="{84CFE06A-A772-4EF6-82EF-DCF7A155C1DB}"/>
    <hyperlink ref="G11" r:id="rId19" xr:uid="{D54649E1-1648-4E37-9FEB-8B3BB935D0E7}"/>
    <hyperlink ref="G8" r:id="rId20" xr:uid="{58206E4D-DF67-4DB9-9EB4-E383D662AE3A}"/>
    <hyperlink ref="G10" r:id="rId21" xr:uid="{89852C55-1F5C-4145-8773-38C716FE389E}"/>
    <hyperlink ref="G4" r:id="rId22" display="mailto:Josephine.Acevedo@yolocounty.org" xr:uid="{ED0CFA28-570A-42BA-A2FC-164ED0293764}"/>
    <hyperlink ref="G19" r:id="rId23" xr:uid="{A601538E-798E-44A8-8278-B0F4B7C49ADA}"/>
    <hyperlink ref="G18" r:id="rId24" xr:uid="{ACF9C9D4-18AF-481E-B389-404E90F068FA}"/>
    <hyperlink ref="G17" r:id="rId25" xr:uid="{E3B6AF74-C36E-4683-98A0-691EF1064183}"/>
  </hyperlinks>
  <pageMargins left="0.7" right="0.7" top="0.75" bottom="0.75" header="0.3" footer="0.3"/>
  <pageSetup orientation="portrait" r:id="rId26"/>
  <tableParts count="2">
    <tablePart r:id="rId27"/>
    <tablePart r:id="rId2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DCA50-1813-4381-9F10-4202E7BC2754}">
  <sheetPr codeName="Sheet9"/>
  <dimension ref="B2:E28"/>
  <sheetViews>
    <sheetView zoomScaleNormal="150" zoomScaleSheetLayoutView="100" workbookViewId="0">
      <selection activeCell="C4" sqref="C4"/>
    </sheetView>
  </sheetViews>
  <sheetFormatPr defaultColWidth="9.14453125" defaultRowHeight="15" x14ac:dyDescent="0.2"/>
  <cols>
    <col min="1" max="1" width="4.03515625" style="357" customWidth="1"/>
    <col min="2" max="2" width="23.26953125" style="362" customWidth="1"/>
    <col min="3" max="3" width="37.125" style="357" customWidth="1"/>
    <col min="4" max="4" width="30.8046875" style="357" customWidth="1"/>
    <col min="5" max="5" width="40.7578125" style="357" customWidth="1"/>
    <col min="6" max="6" width="16.54296875" style="357" customWidth="1"/>
    <col min="7" max="16384" width="9.14453125" style="357"/>
  </cols>
  <sheetData>
    <row r="2" spans="2:5" s="356" customFormat="1" ht="35.25" x14ac:dyDescent="0.25">
      <c r="B2" s="370" t="s">
        <v>267</v>
      </c>
      <c r="C2" s="371" t="s">
        <v>268</v>
      </c>
      <c r="D2" s="372" t="s">
        <v>269</v>
      </c>
      <c r="E2" s="373" t="s">
        <v>270</v>
      </c>
    </row>
    <row r="3" spans="2:5" x14ac:dyDescent="0.2">
      <c r="B3" s="363" t="s">
        <v>751</v>
      </c>
      <c r="C3" s="358" t="s">
        <v>272</v>
      </c>
      <c r="D3" s="359" t="s">
        <v>273</v>
      </c>
      <c r="E3" s="368" t="s">
        <v>274</v>
      </c>
    </row>
    <row r="4" spans="2:5" s="356" customFormat="1" ht="18.75" x14ac:dyDescent="0.2">
      <c r="B4" s="363" t="s">
        <v>486</v>
      </c>
      <c r="C4" s="366"/>
      <c r="D4" s="367"/>
      <c r="E4" s="368" t="s">
        <v>271</v>
      </c>
    </row>
    <row r="5" spans="2:5" s="356" customFormat="1" x14ac:dyDescent="0.2">
      <c r="B5" s="363" t="s">
        <v>102</v>
      </c>
      <c r="C5" s="358"/>
      <c r="D5" s="359"/>
      <c r="E5" s="368" t="s">
        <v>271</v>
      </c>
    </row>
    <row r="6" spans="2:5" s="356" customFormat="1" x14ac:dyDescent="0.2">
      <c r="B6" s="363" t="s">
        <v>753</v>
      </c>
      <c r="C6" s="364"/>
      <c r="D6" s="365"/>
      <c r="E6" s="368" t="s">
        <v>271</v>
      </c>
    </row>
    <row r="7" spans="2:5" x14ac:dyDescent="0.2">
      <c r="B7" s="363" t="s">
        <v>281</v>
      </c>
      <c r="C7" s="360"/>
      <c r="D7" s="359"/>
      <c r="E7" s="368" t="s">
        <v>274</v>
      </c>
    </row>
    <row r="8" spans="2:5" ht="41.25" x14ac:dyDescent="0.2">
      <c r="B8" s="363" t="s">
        <v>282</v>
      </c>
      <c r="C8" s="360" t="str">
        <f>_xlfn.TEXTJOIN(", ",TRUE,Database!B10:B20)</f>
        <v>Accessory, Commercial, Demolition, Dwellings, Electrical, Fire, Flood, Grading, Mechanical, Plumbing, Pool/Spa</v>
      </c>
      <c r="D8" s="359" t="s">
        <v>283</v>
      </c>
      <c r="E8" s="368" t="s">
        <v>274</v>
      </c>
    </row>
    <row r="9" spans="2:5" x14ac:dyDescent="0.2">
      <c r="B9" s="361" t="str">
        <f>Database!B10</f>
        <v>Accessory</v>
      </c>
      <c r="C9" s="358" t="str">
        <f>"&lt;sub "&amp;Table7[[#This Row],[Field]]&amp;"&gt;"</f>
        <v>&lt;sub Accessory&gt;</v>
      </c>
      <c r="D9" s="359" t="str">
        <f>"Next / Run Sub Permit" &amp; Table7[[#This Row],[Field]]</f>
        <v>Next / Run Sub PermitAccessory</v>
      </c>
      <c r="E9" s="368" t="str">
        <f>IF(SEARCH(Table7[[#This Row],[Field]],$C$8),"Required","Hide")</f>
        <v>Required</v>
      </c>
    </row>
    <row r="10" spans="2:5" x14ac:dyDescent="0.2">
      <c r="B10" s="361" t="str">
        <f>Database!B11</f>
        <v>Commercial</v>
      </c>
      <c r="C10" s="358" t="str">
        <f>"&lt;sub "&amp;Table7[[#This Row],[Field]]&amp;"&gt;"</f>
        <v>&lt;sub Commercial&gt;</v>
      </c>
      <c r="D10" s="359" t="str">
        <f>"Next / Run Sub Permit" &amp; Table7[[#This Row],[Field]]</f>
        <v>Next / Run Sub PermitCommercial</v>
      </c>
      <c r="E10" s="368" t="str">
        <f>IF(SEARCH(Table7[[#This Row],[Field]],$C$8),"Required","Hide")</f>
        <v>Required</v>
      </c>
    </row>
    <row r="11" spans="2:5" x14ac:dyDescent="0.2">
      <c r="B11" s="361" t="str">
        <f>Database!B12</f>
        <v>Demolition</v>
      </c>
      <c r="C11" s="358" t="str">
        <f>"&lt;sub "&amp;Table7[[#This Row],[Field]]&amp;"&gt;"</f>
        <v>&lt;sub Demolition&gt;</v>
      </c>
      <c r="D11" s="359" t="str">
        <f>"Next / Run Sub Permit" &amp; Table7[[#This Row],[Field]]</f>
        <v>Next / Run Sub PermitDemolition</v>
      </c>
      <c r="E11" s="368" t="str">
        <f>IF(SEARCH(Table7[[#This Row],[Field]],$C$8),"Required","Hide")</f>
        <v>Required</v>
      </c>
    </row>
    <row r="12" spans="2:5" x14ac:dyDescent="0.2">
      <c r="B12" s="361" t="str">
        <f>Database!B13</f>
        <v>Dwellings</v>
      </c>
      <c r="C12" s="358" t="str">
        <f>"&lt;sub "&amp;Table7[[#This Row],[Field]]&amp;"&gt;"</f>
        <v>&lt;sub Dwellings&gt;</v>
      </c>
      <c r="D12" s="359" t="str">
        <f>"Next / Run Sub Permit" &amp; Table7[[#This Row],[Field]]</f>
        <v>Next / Run Sub PermitDwellings</v>
      </c>
      <c r="E12" s="368" t="str">
        <f>IF(SEARCH(Table7[[#This Row],[Field]],$C$8),"Required","Hide")</f>
        <v>Required</v>
      </c>
    </row>
    <row r="13" spans="2:5" x14ac:dyDescent="0.2">
      <c r="B13" s="361" t="str">
        <f>Database!B14</f>
        <v>Electrical</v>
      </c>
      <c r="C13" s="358" t="str">
        <f>"&lt;sub "&amp;Table7[[#This Row],[Field]]&amp;"&gt;"</f>
        <v>&lt;sub Electrical&gt;</v>
      </c>
      <c r="D13" s="359" t="str">
        <f>"Next / Run Sub Permit" &amp; Table7[[#This Row],[Field]]</f>
        <v>Next / Run Sub PermitElectrical</v>
      </c>
      <c r="E13" s="368" t="str">
        <f>IF(SEARCH(Table7[[#This Row],[Field]],$C$8),"Required","Hide")</f>
        <v>Required</v>
      </c>
    </row>
    <row r="14" spans="2:5" x14ac:dyDescent="0.2">
      <c r="B14" s="361" t="str">
        <f>Database!B15</f>
        <v>Fire</v>
      </c>
      <c r="C14" s="358" t="str">
        <f>"&lt;sub "&amp;Table7[[#This Row],[Field]]&amp;"&gt;"</f>
        <v>&lt;sub Fire&gt;</v>
      </c>
      <c r="D14" s="359" t="str">
        <f>"Next / Run Sub Permit" &amp; Table7[[#This Row],[Field]]</f>
        <v>Next / Run Sub PermitFire</v>
      </c>
      <c r="E14" s="368" t="str">
        <f>IF(SEARCH(Table7[[#This Row],[Field]],$C$8),"Required","Hide")</f>
        <v>Required</v>
      </c>
    </row>
    <row r="15" spans="2:5" x14ac:dyDescent="0.2">
      <c r="B15" s="361" t="str">
        <f>Database!B16</f>
        <v>Flood</v>
      </c>
      <c r="C15" s="358" t="str">
        <f>"&lt;sub "&amp;Table7[[#This Row],[Field]]&amp;"&gt;"</f>
        <v>&lt;sub Flood&gt;</v>
      </c>
      <c r="D15" s="359" t="str">
        <f>"Next / Run Sub Permit" &amp; Table7[[#This Row],[Field]]</f>
        <v>Next / Run Sub PermitFlood</v>
      </c>
      <c r="E15" s="368" t="str">
        <f>IF(SEARCH(Table7[[#This Row],[Field]],$C$8),"Required","Hide")</f>
        <v>Required</v>
      </c>
    </row>
    <row r="16" spans="2:5" x14ac:dyDescent="0.2">
      <c r="B16" s="361" t="str">
        <f>Database!B17</f>
        <v>Grading</v>
      </c>
      <c r="C16" s="358" t="str">
        <f>"&lt;sub "&amp;Table7[[#This Row],[Field]]&amp;"&gt;"</f>
        <v>&lt;sub Grading&gt;</v>
      </c>
      <c r="D16" s="359" t="str">
        <f>"Next / Run Sub Permit" &amp; Table7[[#This Row],[Field]]</f>
        <v>Next / Run Sub PermitGrading</v>
      </c>
      <c r="E16" s="368" t="str">
        <f>IF(SEARCH(Table7[[#This Row],[Field]],$C$8),"Required","Hide")</f>
        <v>Required</v>
      </c>
    </row>
    <row r="17" spans="2:5" x14ac:dyDescent="0.2">
      <c r="B17" s="361" t="str">
        <f>Database!B18</f>
        <v>Mechanical</v>
      </c>
      <c r="C17" s="358" t="str">
        <f>"&lt;sub "&amp;Table7[[#This Row],[Field]]&amp;"&gt;"</f>
        <v>&lt;sub Mechanical&gt;</v>
      </c>
      <c r="D17" s="359" t="str">
        <f>"Next / Run Sub Permit" &amp; Table7[[#This Row],[Field]]</f>
        <v>Next / Run Sub PermitMechanical</v>
      </c>
      <c r="E17" s="368" t="str">
        <f>IF(SEARCH(Table7[[#This Row],[Field]],$C$8),"Required","Hide")</f>
        <v>Required</v>
      </c>
    </row>
    <row r="18" spans="2:5" x14ac:dyDescent="0.2">
      <c r="B18" s="361" t="str">
        <f>Database!B19</f>
        <v>Plumbing</v>
      </c>
      <c r="C18" s="358" t="str">
        <f>"&lt;sub "&amp;Table7[[#This Row],[Field]]&amp;"&gt;"</f>
        <v>&lt;sub Plumbing&gt;</v>
      </c>
      <c r="D18" s="359" t="str">
        <f>"Next / Run Sub Permit" &amp; Table7[[#This Row],[Field]]</f>
        <v>Next / Run Sub PermitPlumbing</v>
      </c>
      <c r="E18" s="368" t="str">
        <f>IF(SEARCH(Table7[[#This Row],[Field]],$C$8),"Required","Hide")</f>
        <v>Required</v>
      </c>
    </row>
    <row r="19" spans="2:5" x14ac:dyDescent="0.2">
      <c r="B19" s="361" t="str">
        <f>Database!B20</f>
        <v>Pool/Spa</v>
      </c>
      <c r="C19" s="358" t="str">
        <f>"&lt;sub "&amp;Table7[[#This Row],[Field]]&amp;"&gt;"</f>
        <v>&lt;sub Pool/Spa&gt;</v>
      </c>
      <c r="D19" s="359" t="str">
        <f>"Next / Run Sub Permit" &amp; Table7[[#This Row],[Field]]</f>
        <v>Next / Run Sub PermitPool/Spa</v>
      </c>
      <c r="E19" s="368" t="str">
        <f>IF(SEARCH(Table7[[#This Row],[Field]],$C$8),"Required","Hide")</f>
        <v>Required</v>
      </c>
    </row>
    <row r="20" spans="2:5" x14ac:dyDescent="0.2">
      <c r="B20" s="363" t="s">
        <v>758</v>
      </c>
      <c r="C20" s="358" t="s">
        <v>757</v>
      </c>
      <c r="D20" s="359" t="s">
        <v>759</v>
      </c>
      <c r="E20" s="368" t="s">
        <v>760</v>
      </c>
    </row>
    <row r="21" spans="2:5" ht="27.75" x14ac:dyDescent="0.2">
      <c r="B21" s="374" t="s">
        <v>275</v>
      </c>
      <c r="C21" s="358" t="s">
        <v>276</v>
      </c>
      <c r="D21" s="359" t="s">
        <v>277</v>
      </c>
      <c r="E21" s="368" t="s">
        <v>274</v>
      </c>
    </row>
    <row r="22" spans="2:5" ht="27.75" x14ac:dyDescent="0.2">
      <c r="B22" s="374" t="s">
        <v>280</v>
      </c>
      <c r="C22" s="358" t="s">
        <v>276</v>
      </c>
      <c r="D22" s="359" t="s">
        <v>277</v>
      </c>
      <c r="E22" s="368" t="s">
        <v>756</v>
      </c>
    </row>
    <row r="23" spans="2:5" ht="27.75" x14ac:dyDescent="0.2">
      <c r="B23" s="374" t="s">
        <v>278</v>
      </c>
      <c r="C23" s="358" t="s">
        <v>276</v>
      </c>
      <c r="D23" s="359" t="s">
        <v>277</v>
      </c>
      <c r="E23" s="368" t="s">
        <v>279</v>
      </c>
    </row>
    <row r="24" spans="2:5" ht="27.75" x14ac:dyDescent="0.2">
      <c r="B24" s="374" t="s">
        <v>284</v>
      </c>
      <c r="C24" s="358" t="s">
        <v>285</v>
      </c>
      <c r="D24" s="359" t="s">
        <v>277</v>
      </c>
      <c r="E24" s="368" t="s">
        <v>752</v>
      </c>
    </row>
    <row r="25" spans="2:5" ht="27.75" x14ac:dyDescent="0.2">
      <c r="B25" s="363" t="s">
        <v>19</v>
      </c>
      <c r="C25" s="358" t="s">
        <v>747</v>
      </c>
      <c r="D25" s="359" t="s">
        <v>286</v>
      </c>
      <c r="E25" s="368" t="s">
        <v>754</v>
      </c>
    </row>
    <row r="26" spans="2:5" ht="27.75" x14ac:dyDescent="0.2">
      <c r="B26" s="363" t="s">
        <v>287</v>
      </c>
      <c r="C26" s="358" t="s">
        <v>748</v>
      </c>
      <c r="D26" s="359" t="s">
        <v>288</v>
      </c>
      <c r="E26" s="368" t="s">
        <v>755</v>
      </c>
    </row>
    <row r="27" spans="2:5" ht="27.75" x14ac:dyDescent="0.2">
      <c r="B27" s="363" t="s">
        <v>17</v>
      </c>
      <c r="C27" s="358" t="s">
        <v>749</v>
      </c>
      <c r="D27" s="359" t="s">
        <v>289</v>
      </c>
      <c r="E27" s="368" t="s">
        <v>755</v>
      </c>
    </row>
    <row r="28" spans="2:5" ht="27.75" x14ac:dyDescent="0.2">
      <c r="B28" s="363" t="s">
        <v>290</v>
      </c>
      <c r="C28" s="358" t="s">
        <v>750</v>
      </c>
      <c r="D28" s="359" t="s">
        <v>291</v>
      </c>
      <c r="E28" s="369" t="s">
        <v>274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82190-CA4F-2C4B-A366-95FF5C8BC5DB}">
  <sheetPr codeName="Sheet3"/>
  <dimension ref="A1:F231"/>
  <sheetViews>
    <sheetView zoomScale="115" zoomScaleNormal="115" zoomScaleSheetLayoutView="100" workbookViewId="0">
      <pane ySplit="1" topLeftCell="A22" activePane="bottomLeft" state="frozen"/>
      <selection pane="bottomLeft" activeCell="A207" sqref="A207"/>
    </sheetView>
  </sheetViews>
  <sheetFormatPr defaultColWidth="9.14453125" defaultRowHeight="24.95" customHeight="1" x14ac:dyDescent="0.2"/>
  <cols>
    <col min="1" max="1" width="30.9375" style="247" customWidth="1"/>
    <col min="2" max="2" width="50.04296875" style="250" customWidth="1"/>
    <col min="3" max="3" width="28.11328125" style="250" customWidth="1"/>
    <col min="4" max="4" width="30.40234375" style="250" customWidth="1"/>
    <col min="5" max="5" width="11.97265625" style="250" customWidth="1"/>
    <col min="6" max="6" width="10.0859375" style="250" customWidth="1"/>
    <col min="7" max="7" width="32.1484375" style="250" customWidth="1"/>
    <col min="8" max="16384" width="9.14453125" style="250"/>
  </cols>
  <sheetData>
    <row r="1" spans="1:4" s="246" customFormat="1" ht="24.95" customHeight="1" x14ac:dyDescent="0.2">
      <c r="A1" s="244" t="s">
        <v>292</v>
      </c>
      <c r="B1" s="245" t="s">
        <v>293</v>
      </c>
      <c r="C1" s="245" t="s">
        <v>294</v>
      </c>
      <c r="D1" s="246" t="s">
        <v>295</v>
      </c>
    </row>
    <row r="2" spans="1:4" ht="24.95" customHeight="1" x14ac:dyDescent="0.2">
      <c r="A2" s="247" t="s">
        <v>296</v>
      </c>
      <c r="B2" s="248" t="s">
        <v>297</v>
      </c>
      <c r="C2" s="249"/>
    </row>
    <row r="3" spans="1:4" ht="24.75" customHeight="1" x14ac:dyDescent="0.2">
      <c r="A3" s="247" t="s">
        <v>296</v>
      </c>
      <c r="B3" s="251"/>
      <c r="C3" s="252" t="b">
        <v>1</v>
      </c>
    </row>
    <row r="4" spans="1:4" ht="24.95" customHeight="1" x14ac:dyDescent="0.2">
      <c r="A4" s="247" t="s">
        <v>296</v>
      </c>
      <c r="B4" s="251"/>
      <c r="C4" s="252" t="b">
        <v>1</v>
      </c>
    </row>
    <row r="5" spans="1:4" ht="24.95" customHeight="1" x14ac:dyDescent="0.2">
      <c r="A5" s="247" t="s">
        <v>296</v>
      </c>
      <c r="B5" s="251"/>
      <c r="C5" s="252" t="b">
        <v>1</v>
      </c>
    </row>
    <row r="6" spans="1:4" ht="24.95" customHeight="1" x14ac:dyDescent="0.2">
      <c r="A6" s="247" t="s">
        <v>296</v>
      </c>
      <c r="B6" s="251"/>
      <c r="C6" s="252" t="b">
        <v>1</v>
      </c>
    </row>
    <row r="7" spans="1:4" ht="24.95" customHeight="1" x14ac:dyDescent="0.2">
      <c r="A7" s="247" t="s">
        <v>296</v>
      </c>
      <c r="B7" s="251"/>
      <c r="C7" s="252" t="b">
        <v>1</v>
      </c>
    </row>
    <row r="8" spans="1:4" ht="24.95" customHeight="1" x14ac:dyDescent="0.2">
      <c r="A8" s="247" t="s">
        <v>296</v>
      </c>
      <c r="B8" s="251"/>
      <c r="C8" s="252" t="b">
        <v>1</v>
      </c>
    </row>
    <row r="9" spans="1:4" ht="24.95" customHeight="1" x14ac:dyDescent="0.2">
      <c r="A9" s="247" t="s">
        <v>296</v>
      </c>
      <c r="B9" s="251"/>
      <c r="C9" s="252" t="b">
        <v>1</v>
      </c>
    </row>
    <row r="10" spans="1:4" ht="24.95" customHeight="1" x14ac:dyDescent="0.2">
      <c r="A10" s="247" t="s">
        <v>296</v>
      </c>
      <c r="B10" s="251"/>
      <c r="C10" s="252" t="b">
        <v>1</v>
      </c>
    </row>
    <row r="11" spans="1:4" ht="24.95" customHeight="1" x14ac:dyDescent="0.2">
      <c r="A11" s="247" t="s">
        <v>296</v>
      </c>
      <c r="B11" s="251"/>
      <c r="C11" s="252" t="b">
        <v>1</v>
      </c>
    </row>
    <row r="12" spans="1:4" ht="24.95" customHeight="1" x14ac:dyDescent="0.2">
      <c r="A12" s="247" t="s">
        <v>296</v>
      </c>
      <c r="B12" s="251"/>
      <c r="C12" s="252" t="b">
        <v>1</v>
      </c>
    </row>
    <row r="13" spans="1:4" ht="24.95" customHeight="1" x14ac:dyDescent="0.2">
      <c r="B13" s="253"/>
      <c r="C13" s="252"/>
    </row>
    <row r="14" spans="1:4" ht="24.95" customHeight="1" x14ac:dyDescent="0.2">
      <c r="B14" s="254"/>
      <c r="C14" s="252"/>
    </row>
    <row r="15" spans="1:4" ht="24.95" customHeight="1" x14ac:dyDescent="0.2">
      <c r="A15" s="247">
        <f>BLD</f>
        <v>0</v>
      </c>
      <c r="B15" s="248" t="s">
        <v>298</v>
      </c>
      <c r="C15" s="249"/>
    </row>
    <row r="16" spans="1:4" ht="24.95" customHeight="1" x14ac:dyDescent="0.2">
      <c r="A16" s="247">
        <f>BLD</f>
        <v>0</v>
      </c>
      <c r="B16" s="255" t="s">
        <v>299</v>
      </c>
      <c r="C16" s="256"/>
      <c r="D16" s="250" t="s">
        <v>300</v>
      </c>
    </row>
    <row r="17" spans="1:4" ht="24.95" customHeight="1" x14ac:dyDescent="0.2">
      <c r="A17" s="247">
        <f>BLD</f>
        <v>0</v>
      </c>
      <c r="B17" s="255" t="s">
        <v>301</v>
      </c>
      <c r="C17" s="257"/>
      <c r="D17" s="250" t="s">
        <v>302</v>
      </c>
    </row>
    <row r="18" spans="1:4" ht="24.95" customHeight="1" x14ac:dyDescent="0.2">
      <c r="A18" s="247" t="s">
        <v>296</v>
      </c>
      <c r="B18" s="258" t="s">
        <v>303</v>
      </c>
      <c r="C18" s="259"/>
    </row>
    <row r="19" spans="1:4" ht="24.95" customHeight="1" x14ac:dyDescent="0.2">
      <c r="A19" s="247" t="s">
        <v>296</v>
      </c>
      <c r="B19" s="260" t="s">
        <v>304</v>
      </c>
      <c r="C19" s="261"/>
      <c r="D19" s="250" t="s">
        <v>305</v>
      </c>
    </row>
    <row r="20" spans="1:4" ht="24.95" customHeight="1" x14ac:dyDescent="0.2">
      <c r="A20" s="247" t="s">
        <v>296</v>
      </c>
      <c r="B20" s="255" t="s">
        <v>306</v>
      </c>
      <c r="C20" s="256"/>
      <c r="D20" s="250" t="s">
        <v>307</v>
      </c>
    </row>
    <row r="21" spans="1:4" ht="24.95" customHeight="1" x14ac:dyDescent="0.2">
      <c r="A21" s="247" t="s">
        <v>296</v>
      </c>
      <c r="B21" s="255" t="s">
        <v>308</v>
      </c>
      <c r="C21" s="256"/>
      <c r="D21" s="250" t="s">
        <v>307</v>
      </c>
    </row>
    <row r="22" spans="1:4" ht="24.95" customHeight="1" x14ac:dyDescent="0.2">
      <c r="A22" s="247" t="s">
        <v>296</v>
      </c>
      <c r="B22" s="248" t="s">
        <v>309</v>
      </c>
      <c r="C22" s="249"/>
    </row>
    <row r="23" spans="1:4" ht="24.95" customHeight="1" x14ac:dyDescent="0.2">
      <c r="A23" s="247" t="s">
        <v>296</v>
      </c>
      <c r="B23" s="262" t="s">
        <v>310</v>
      </c>
      <c r="C23" s="252"/>
      <c r="D23" s="250" t="s">
        <v>311</v>
      </c>
    </row>
    <row r="24" spans="1:4" ht="24.95" customHeight="1" x14ac:dyDescent="0.2">
      <c r="A24" s="247" t="s">
        <v>296</v>
      </c>
      <c r="B24" s="262" t="s">
        <v>312</v>
      </c>
      <c r="C24" s="252"/>
      <c r="D24" s="250" t="s">
        <v>311</v>
      </c>
    </row>
    <row r="25" spans="1:4" ht="24.95" customHeight="1" x14ac:dyDescent="0.2">
      <c r="A25" s="247" t="s">
        <v>296</v>
      </c>
      <c r="B25" s="262" t="s">
        <v>313</v>
      </c>
      <c r="C25" s="252"/>
      <c r="D25" s="250" t="s">
        <v>311</v>
      </c>
    </row>
    <row r="26" spans="1:4" ht="24.95" customHeight="1" x14ac:dyDescent="0.2">
      <c r="A26" s="247" t="s">
        <v>296</v>
      </c>
      <c r="B26" s="262" t="s">
        <v>314</v>
      </c>
      <c r="C26" s="252"/>
      <c r="D26" s="250" t="s">
        <v>311</v>
      </c>
    </row>
    <row r="27" spans="1:4" ht="24.95" customHeight="1" x14ac:dyDescent="0.2">
      <c r="A27" s="247" t="s">
        <v>296</v>
      </c>
      <c r="B27" s="255" t="s">
        <v>315</v>
      </c>
      <c r="C27" s="256"/>
    </row>
    <row r="28" spans="1:4" ht="24.95" customHeight="1" x14ac:dyDescent="0.2">
      <c r="A28" s="247" t="s">
        <v>296</v>
      </c>
      <c r="B28" s="255" t="s">
        <v>316</v>
      </c>
      <c r="C28" s="256"/>
    </row>
    <row r="29" spans="1:4" ht="24.95" customHeight="1" x14ac:dyDescent="0.2">
      <c r="A29" s="247" t="s">
        <v>296</v>
      </c>
      <c r="B29" s="255" t="s">
        <v>317</v>
      </c>
      <c r="C29" s="256"/>
    </row>
    <row r="30" spans="1:4" ht="24.95" customHeight="1" x14ac:dyDescent="0.2">
      <c r="A30" s="247" t="s">
        <v>296</v>
      </c>
      <c r="B30" s="255" t="s">
        <v>318</v>
      </c>
      <c r="C30" s="256"/>
    </row>
    <row r="31" spans="1:4" ht="24.95" customHeight="1" x14ac:dyDescent="0.2">
      <c r="A31" s="247" t="s">
        <v>296</v>
      </c>
      <c r="B31" s="263" t="s">
        <v>319</v>
      </c>
      <c r="C31" s="257"/>
    </row>
    <row r="32" spans="1:4" ht="24.95" customHeight="1" x14ac:dyDescent="0.2">
      <c r="A32" s="247" t="s">
        <v>296</v>
      </c>
      <c r="B32" s="248" t="s">
        <v>320</v>
      </c>
      <c r="C32" s="249"/>
    </row>
    <row r="33" spans="1:4" ht="24.95" customHeight="1" x14ac:dyDescent="0.2">
      <c r="A33" s="247" t="s">
        <v>296</v>
      </c>
      <c r="B33" s="262" t="s">
        <v>321</v>
      </c>
      <c r="C33" s="252"/>
      <c r="D33" s="250" t="s">
        <v>311</v>
      </c>
    </row>
    <row r="34" spans="1:4" ht="24.95" customHeight="1" x14ac:dyDescent="0.2">
      <c r="A34" s="247" t="s">
        <v>296</v>
      </c>
      <c r="B34" s="262" t="s">
        <v>322</v>
      </c>
      <c r="C34" s="252"/>
      <c r="D34" s="250" t="s">
        <v>311</v>
      </c>
    </row>
    <row r="35" spans="1:4" ht="24.95" customHeight="1" x14ac:dyDescent="0.2">
      <c r="A35" s="247" t="s">
        <v>296</v>
      </c>
      <c r="B35" s="264" t="s">
        <v>323</v>
      </c>
      <c r="C35" s="252"/>
      <c r="D35" s="250" t="s">
        <v>311</v>
      </c>
    </row>
    <row r="36" spans="1:4" ht="24.95" customHeight="1" x14ac:dyDescent="0.2">
      <c r="A36" s="247" t="s">
        <v>296</v>
      </c>
      <c r="B36" s="262" t="s">
        <v>324</v>
      </c>
      <c r="C36" s="252"/>
      <c r="D36" s="250" t="s">
        <v>311</v>
      </c>
    </row>
    <row r="37" spans="1:4" ht="24.95" customHeight="1" x14ac:dyDescent="0.2">
      <c r="A37" s="247" t="str">
        <f>IF($C$23="No","Yes","No")</f>
        <v>No</v>
      </c>
      <c r="B37" s="255" t="s">
        <v>325</v>
      </c>
      <c r="C37" s="265"/>
    </row>
    <row r="38" spans="1:4" ht="24.95" customHeight="1" x14ac:dyDescent="0.2">
      <c r="A38" s="247" t="str">
        <f>IF($C$23="No","Yes","No")</f>
        <v>No</v>
      </c>
      <c r="B38" s="255" t="s">
        <v>326</v>
      </c>
      <c r="C38" s="256"/>
    </row>
    <row r="39" spans="1:4" ht="24.95" customHeight="1" x14ac:dyDescent="0.2">
      <c r="A39" s="247" t="str">
        <f>IF($C$23="No","Yes","No")</f>
        <v>No</v>
      </c>
      <c r="B39" s="255" t="s">
        <v>327</v>
      </c>
      <c r="C39" s="256"/>
    </row>
    <row r="40" spans="1:4" ht="24.95" customHeight="1" x14ac:dyDescent="0.2">
      <c r="A40" s="247" t="str">
        <f>IF($C$23="No","Yes","No")</f>
        <v>No</v>
      </c>
      <c r="B40" s="255" t="s">
        <v>328</v>
      </c>
      <c r="C40" s="256"/>
    </row>
    <row r="41" spans="1:4" ht="24.95" customHeight="1" x14ac:dyDescent="0.2">
      <c r="A41" s="247" t="str">
        <f>IF($C$23="No","Yes","No")</f>
        <v>No</v>
      </c>
      <c r="B41" s="263" t="s">
        <v>329</v>
      </c>
      <c r="C41" s="257"/>
    </row>
    <row r="42" spans="1:4" ht="24.95" customHeight="1" x14ac:dyDescent="0.2">
      <c r="A42" s="247">
        <f>$C$33</f>
        <v>0</v>
      </c>
      <c r="B42" s="258" t="s">
        <v>330</v>
      </c>
      <c r="C42" s="266"/>
    </row>
    <row r="43" spans="1:4" ht="24.95" customHeight="1" x14ac:dyDescent="0.2">
      <c r="A43" s="247">
        <f t="shared" ref="A43:A50" si="0">$C$33</f>
        <v>0</v>
      </c>
      <c r="B43" s="255" t="s">
        <v>331</v>
      </c>
      <c r="C43" s="256"/>
    </row>
    <row r="44" spans="1:4" ht="24.95" customHeight="1" x14ac:dyDescent="0.2">
      <c r="A44" s="247">
        <f t="shared" si="0"/>
        <v>0</v>
      </c>
      <c r="B44" s="255" t="s">
        <v>332</v>
      </c>
      <c r="C44" s="256"/>
    </row>
    <row r="45" spans="1:4" ht="24.95" customHeight="1" x14ac:dyDescent="0.2">
      <c r="A45" s="247">
        <f t="shared" si="0"/>
        <v>0</v>
      </c>
      <c r="B45" s="255" t="s">
        <v>333</v>
      </c>
      <c r="C45" s="256"/>
    </row>
    <row r="46" spans="1:4" ht="24.95" customHeight="1" x14ac:dyDescent="0.2">
      <c r="A46" s="247">
        <f t="shared" si="0"/>
        <v>0</v>
      </c>
      <c r="B46" s="255" t="s">
        <v>334</v>
      </c>
      <c r="C46" s="256"/>
    </row>
    <row r="47" spans="1:4" ht="24.95" customHeight="1" x14ac:dyDescent="0.2">
      <c r="A47" s="247">
        <f t="shared" si="0"/>
        <v>0</v>
      </c>
      <c r="B47" s="255" t="s">
        <v>335</v>
      </c>
      <c r="C47" s="256"/>
    </row>
    <row r="48" spans="1:4" ht="24.95" customHeight="1" x14ac:dyDescent="0.2">
      <c r="A48" s="247">
        <f t="shared" si="0"/>
        <v>0</v>
      </c>
      <c r="B48" s="255" t="s">
        <v>336</v>
      </c>
      <c r="C48" s="256"/>
    </row>
    <row r="49" spans="1:4" ht="24.95" customHeight="1" x14ac:dyDescent="0.2">
      <c r="A49" s="247">
        <f t="shared" si="0"/>
        <v>0</v>
      </c>
      <c r="B49" s="255" t="s">
        <v>337</v>
      </c>
      <c r="C49" s="256"/>
    </row>
    <row r="50" spans="1:4" ht="24.95" customHeight="1" x14ac:dyDescent="0.2">
      <c r="A50" s="247">
        <f t="shared" si="0"/>
        <v>0</v>
      </c>
      <c r="B50" s="263" t="s">
        <v>338</v>
      </c>
      <c r="C50" s="257"/>
    </row>
    <row r="51" spans="1:4" ht="24.95" customHeight="1" x14ac:dyDescent="0.2">
      <c r="A51" s="247" t="s">
        <v>296</v>
      </c>
      <c r="B51" s="248" t="s">
        <v>339</v>
      </c>
      <c r="C51" s="249"/>
    </row>
    <row r="52" spans="1:4" ht="24.95" customHeight="1" x14ac:dyDescent="0.2">
      <c r="A52" s="247" t="s">
        <v>296</v>
      </c>
      <c r="B52" s="267" t="s">
        <v>340</v>
      </c>
      <c r="C52" s="252"/>
      <c r="D52" s="250" t="s">
        <v>311</v>
      </c>
    </row>
    <row r="53" spans="1:4" ht="24.95" customHeight="1" x14ac:dyDescent="0.2">
      <c r="A53" s="247" t="s">
        <v>296</v>
      </c>
      <c r="B53" s="267" t="s">
        <v>341</v>
      </c>
      <c r="C53" s="252"/>
      <c r="D53" s="250" t="s">
        <v>311</v>
      </c>
    </row>
    <row r="54" spans="1:4" ht="24.95" customHeight="1" x14ac:dyDescent="0.2">
      <c r="A54" s="247" t="s">
        <v>296</v>
      </c>
      <c r="B54" s="267" t="s">
        <v>342</v>
      </c>
      <c r="C54" s="252"/>
      <c r="D54" s="250" t="s">
        <v>311</v>
      </c>
    </row>
    <row r="55" spans="1:4" ht="24.95" customHeight="1" x14ac:dyDescent="0.2">
      <c r="A55" s="247" t="s">
        <v>296</v>
      </c>
      <c r="B55" s="267" t="s">
        <v>343</v>
      </c>
      <c r="C55" s="252"/>
      <c r="D55" s="250" t="s">
        <v>311</v>
      </c>
    </row>
    <row r="56" spans="1:4" ht="24.95" customHeight="1" x14ac:dyDescent="0.2">
      <c r="A56" s="247" t="s">
        <v>296</v>
      </c>
      <c r="B56" s="267" t="s">
        <v>55</v>
      </c>
      <c r="C56" s="252"/>
      <c r="D56" s="250" t="s">
        <v>311</v>
      </c>
    </row>
    <row r="57" spans="1:4" ht="24.95" customHeight="1" x14ac:dyDescent="0.2">
      <c r="A57" s="247" t="str" cm="1">
        <f t="array" ref="A57">IF(OR($C$52:$C$54="Yes"),"Yes","No")</f>
        <v>No</v>
      </c>
      <c r="B57" s="255" t="s">
        <v>344</v>
      </c>
      <c r="C57" s="256"/>
    </row>
    <row r="58" spans="1:4" ht="24.95" customHeight="1" x14ac:dyDescent="0.2">
      <c r="A58" s="247" t="str" cm="1">
        <f t="array" ref="A58">IF(OR($C$52:$C$54="Yes"),"Yes","No")</f>
        <v>No</v>
      </c>
      <c r="B58" s="255" t="s">
        <v>345</v>
      </c>
      <c r="C58" s="256"/>
    </row>
    <row r="59" spans="1:4" ht="24.95" customHeight="1" x14ac:dyDescent="0.2">
      <c r="A59" s="247" t="s">
        <v>296</v>
      </c>
      <c r="B59" s="255" t="s">
        <v>346</v>
      </c>
      <c r="C59" s="256"/>
    </row>
    <row r="60" spans="1:4" ht="24.95" customHeight="1" x14ac:dyDescent="0.2">
      <c r="A60" s="247" t="str" cm="1">
        <f t="array" ref="A60">IF(OR($C$52:$C$54="Yes"),"Yes","No")</f>
        <v>No</v>
      </c>
      <c r="B60" s="255" t="s">
        <v>347</v>
      </c>
      <c r="C60" s="256"/>
    </row>
    <row r="61" spans="1:4" ht="24.95" customHeight="1" x14ac:dyDescent="0.2">
      <c r="A61" s="247" t="str" cm="1">
        <f t="array" ref="A61">IF(OR($C$52:$C$54="Yes"),"Yes","No")</f>
        <v>No</v>
      </c>
      <c r="B61" s="255" t="s">
        <v>348</v>
      </c>
      <c r="C61" s="256"/>
    </row>
    <row r="62" spans="1:4" ht="24.95" customHeight="1" x14ac:dyDescent="0.2">
      <c r="A62" s="247" t="s">
        <v>296</v>
      </c>
      <c r="B62" s="255" t="s">
        <v>349</v>
      </c>
      <c r="C62" s="256"/>
    </row>
    <row r="63" spans="1:4" ht="24.95" customHeight="1" x14ac:dyDescent="0.2">
      <c r="A63" s="247" t="str" cm="1">
        <f t="array" ref="A63">IF(OR($C$52:$C$54="Yes"),"Yes","No")</f>
        <v>No</v>
      </c>
      <c r="B63" s="263" t="s">
        <v>350</v>
      </c>
      <c r="C63" s="257"/>
    </row>
    <row r="64" spans="1:4" ht="24.95" customHeight="1" x14ac:dyDescent="0.2">
      <c r="A64" s="247" t="str">
        <f>IF($C$34="Yes","No","Yes")</f>
        <v>Yes</v>
      </c>
      <c r="B64" s="248" t="s">
        <v>351</v>
      </c>
      <c r="C64" s="249"/>
    </row>
    <row r="65" spans="1:6" ht="24.95" customHeight="1" x14ac:dyDescent="0.2">
      <c r="A65" s="247" t="str">
        <f>IF($C$34="Yes","No","Yes")</f>
        <v>Yes</v>
      </c>
      <c r="B65" s="255" t="s">
        <v>352</v>
      </c>
      <c r="C65" s="252"/>
      <c r="D65" s="250" t="s">
        <v>311</v>
      </c>
    </row>
    <row r="66" spans="1:6" ht="36" customHeight="1" x14ac:dyDescent="0.2">
      <c r="A66" s="247" t="str">
        <f>IF(C65="Yes","No","Yes")</f>
        <v>Yes</v>
      </c>
      <c r="B66" s="268" t="s">
        <v>353</v>
      </c>
      <c r="C66" s="256"/>
      <c r="D66" s="250" t="s">
        <v>307</v>
      </c>
    </row>
    <row r="67" spans="1:6" ht="24.95" customHeight="1" x14ac:dyDescent="0.2">
      <c r="A67" s="247">
        <f>$C$65</f>
        <v>0</v>
      </c>
      <c r="B67" s="255" t="s">
        <v>354</v>
      </c>
      <c r="C67" s="256"/>
      <c r="D67" s="250" t="s">
        <v>307</v>
      </c>
    </row>
    <row r="68" spans="1:6" ht="24.95" customHeight="1" x14ac:dyDescent="0.2">
      <c r="A68" s="247">
        <f t="shared" ref="A68:A71" si="1">$C$65</f>
        <v>0</v>
      </c>
      <c r="B68" s="255" t="s">
        <v>355</v>
      </c>
      <c r="C68" s="256"/>
      <c r="D68" s="250" t="s">
        <v>307</v>
      </c>
    </row>
    <row r="69" spans="1:6" ht="24.95" customHeight="1" x14ac:dyDescent="0.2">
      <c r="A69" s="247">
        <f t="shared" si="1"/>
        <v>0</v>
      </c>
      <c r="B69" s="255" t="s">
        <v>356</v>
      </c>
      <c r="C69" s="256"/>
      <c r="D69" s="250" t="s">
        <v>307</v>
      </c>
    </row>
    <row r="70" spans="1:6" ht="24.95" customHeight="1" x14ac:dyDescent="0.2">
      <c r="A70" s="247">
        <f t="shared" si="1"/>
        <v>0</v>
      </c>
      <c r="B70" s="255" t="s">
        <v>357</v>
      </c>
      <c r="C70" s="256"/>
      <c r="D70" s="250" t="s">
        <v>307</v>
      </c>
    </row>
    <row r="71" spans="1:6" ht="24.95" customHeight="1" x14ac:dyDescent="0.2">
      <c r="A71" s="247">
        <f t="shared" si="1"/>
        <v>0</v>
      </c>
      <c r="B71" s="255" t="s">
        <v>358</v>
      </c>
      <c r="C71" s="256"/>
      <c r="D71" s="250" t="s">
        <v>307</v>
      </c>
    </row>
    <row r="72" spans="1:6" ht="24.95" customHeight="1" x14ac:dyDescent="0.2">
      <c r="A72" s="247" t="b">
        <f t="shared" ref="A72:A77" si="2">AG</f>
        <v>1</v>
      </c>
      <c r="B72" s="248" t="s">
        <v>359</v>
      </c>
      <c r="C72" s="249"/>
      <c r="E72" s="269"/>
      <c r="F72" s="270"/>
    </row>
    <row r="73" spans="1:6" ht="24.95" customHeight="1" x14ac:dyDescent="0.2">
      <c r="A73" s="247" t="b">
        <f t="shared" si="2"/>
        <v>1</v>
      </c>
      <c r="B73" s="255"/>
      <c r="C73" s="256"/>
    </row>
    <row r="74" spans="1:6" ht="24.95" customHeight="1" x14ac:dyDescent="0.2">
      <c r="A74" s="247" t="b">
        <f t="shared" si="2"/>
        <v>1</v>
      </c>
      <c r="B74" s="255"/>
      <c r="C74" s="271"/>
    </row>
    <row r="75" spans="1:6" ht="24.95" customHeight="1" x14ac:dyDescent="0.2">
      <c r="A75" s="247" t="b">
        <f t="shared" si="2"/>
        <v>1</v>
      </c>
      <c r="B75" s="255"/>
      <c r="C75" s="272"/>
    </row>
    <row r="76" spans="1:6" ht="24.95" customHeight="1" x14ac:dyDescent="0.2">
      <c r="A76" s="247" t="b">
        <f t="shared" si="2"/>
        <v>1</v>
      </c>
      <c r="B76" s="255"/>
      <c r="C76" s="272"/>
    </row>
    <row r="77" spans="1:6" ht="24.95" customHeight="1" x14ac:dyDescent="0.2">
      <c r="A77" s="247" t="b">
        <f t="shared" si="2"/>
        <v>1</v>
      </c>
      <c r="B77" s="255"/>
      <c r="C77" s="272"/>
    </row>
    <row r="78" spans="1:6" ht="24.95" customHeight="1" x14ac:dyDescent="0.2">
      <c r="A78" s="247" t="b">
        <f t="shared" ref="A78:A83" si="3">DEM</f>
        <v>1</v>
      </c>
      <c r="B78" s="248" t="s">
        <v>27</v>
      </c>
      <c r="C78" s="249"/>
      <c r="E78" s="269"/>
      <c r="F78" s="270"/>
    </row>
    <row r="79" spans="1:6" ht="24.95" customHeight="1" x14ac:dyDescent="0.2">
      <c r="A79" s="247" t="b">
        <f t="shared" si="3"/>
        <v>1</v>
      </c>
      <c r="B79" s="255" t="s">
        <v>360</v>
      </c>
      <c r="C79" s="256"/>
      <c r="D79" s="250" t="s">
        <v>361</v>
      </c>
    </row>
    <row r="80" spans="1:6" ht="24.95" customHeight="1" x14ac:dyDescent="0.2">
      <c r="A80" s="247" t="b">
        <f t="shared" si="3"/>
        <v>1</v>
      </c>
      <c r="B80" s="255" t="s">
        <v>362</v>
      </c>
      <c r="C80" s="271"/>
      <c r="D80" s="250" t="s">
        <v>363</v>
      </c>
    </row>
    <row r="81" spans="1:5" ht="24.95" customHeight="1" x14ac:dyDescent="0.2">
      <c r="A81" s="247" t="b">
        <f t="shared" si="3"/>
        <v>1</v>
      </c>
      <c r="B81" s="255" t="s">
        <v>364</v>
      </c>
      <c r="C81" s="272"/>
      <c r="D81" s="250" t="s">
        <v>305</v>
      </c>
    </row>
    <row r="82" spans="1:5" ht="24.95" customHeight="1" x14ac:dyDescent="0.2">
      <c r="A82" s="247" t="b">
        <f t="shared" si="3"/>
        <v>1</v>
      </c>
      <c r="B82" s="255" t="s">
        <v>365</v>
      </c>
      <c r="C82" s="272"/>
      <c r="D82" s="250" t="s">
        <v>305</v>
      </c>
    </row>
    <row r="83" spans="1:5" ht="24.95" customHeight="1" x14ac:dyDescent="0.2">
      <c r="A83" s="247" t="b">
        <f t="shared" si="3"/>
        <v>1</v>
      </c>
      <c r="B83" s="255" t="s">
        <v>366</v>
      </c>
      <c r="C83" s="272"/>
      <c r="D83" s="250" t="s">
        <v>305</v>
      </c>
    </row>
    <row r="84" spans="1:5" ht="24.95" customHeight="1" x14ac:dyDescent="0.2">
      <c r="A84" s="247" t="b">
        <f t="shared" ref="A84:A94" si="4">GRADE</f>
        <v>1</v>
      </c>
      <c r="B84" s="248" t="s">
        <v>37</v>
      </c>
      <c r="C84" s="249"/>
    </row>
    <row r="85" spans="1:5" ht="24.95" customHeight="1" x14ac:dyDescent="0.2">
      <c r="A85" s="247" t="b">
        <f t="shared" si="4"/>
        <v>1</v>
      </c>
      <c r="B85" s="255" t="s">
        <v>367</v>
      </c>
      <c r="C85" s="252"/>
      <c r="D85" s="250" t="s">
        <v>305</v>
      </c>
    </row>
    <row r="86" spans="1:5" ht="24.95" customHeight="1" x14ac:dyDescent="0.2">
      <c r="A86" s="247" t="b">
        <f t="shared" si="4"/>
        <v>1</v>
      </c>
      <c r="B86" s="255" t="s">
        <v>368</v>
      </c>
      <c r="C86" s="252"/>
      <c r="D86" s="250" t="s">
        <v>305</v>
      </c>
    </row>
    <row r="87" spans="1:5" ht="24.95" customHeight="1" x14ac:dyDescent="0.2">
      <c r="A87" s="247" t="b">
        <f t="shared" si="4"/>
        <v>1</v>
      </c>
      <c r="B87" s="255" t="s">
        <v>369</v>
      </c>
      <c r="C87" s="252"/>
      <c r="D87" s="250" t="s">
        <v>305</v>
      </c>
    </row>
    <row r="88" spans="1:5" ht="24.95" customHeight="1" x14ac:dyDescent="0.2">
      <c r="A88" s="247" t="b">
        <f t="shared" si="4"/>
        <v>1</v>
      </c>
      <c r="B88" s="273" t="s">
        <v>370</v>
      </c>
      <c r="C88" s="252"/>
      <c r="D88" s="250" t="s">
        <v>305</v>
      </c>
    </row>
    <row r="89" spans="1:5" ht="24.95" customHeight="1" x14ac:dyDescent="0.2">
      <c r="A89" s="247" t="b">
        <f t="shared" si="4"/>
        <v>1</v>
      </c>
      <c r="B89" s="255" t="s">
        <v>371</v>
      </c>
      <c r="C89" s="252"/>
      <c r="D89" s="250" t="s">
        <v>305</v>
      </c>
    </row>
    <row r="90" spans="1:5" ht="24.95" customHeight="1" x14ac:dyDescent="0.2">
      <c r="A90" s="247" t="b">
        <f t="shared" si="4"/>
        <v>1</v>
      </c>
      <c r="B90" s="255" t="s">
        <v>372</v>
      </c>
      <c r="C90" s="252"/>
      <c r="D90" s="250" t="s">
        <v>305</v>
      </c>
    </row>
    <row r="91" spans="1:5" ht="24.95" customHeight="1" x14ac:dyDescent="0.2">
      <c r="A91" s="247" t="b">
        <f t="shared" si="4"/>
        <v>1</v>
      </c>
      <c r="B91" s="273" t="s">
        <v>373</v>
      </c>
      <c r="C91" s="252"/>
      <c r="D91" s="250" t="s">
        <v>305</v>
      </c>
    </row>
    <row r="92" spans="1:5" ht="24.95" customHeight="1" x14ac:dyDescent="0.2">
      <c r="A92" s="247" t="b">
        <f t="shared" si="4"/>
        <v>1</v>
      </c>
      <c r="B92" s="273" t="s">
        <v>374</v>
      </c>
      <c r="C92" s="252"/>
      <c r="D92" s="250" t="s">
        <v>305</v>
      </c>
    </row>
    <row r="93" spans="1:5" ht="24.95" customHeight="1" x14ac:dyDescent="0.2">
      <c r="A93" s="247" t="b">
        <f t="shared" si="4"/>
        <v>1</v>
      </c>
      <c r="B93" s="273" t="s">
        <v>375</v>
      </c>
      <c r="C93" s="252"/>
      <c r="D93" s="250" t="s">
        <v>305</v>
      </c>
    </row>
    <row r="94" spans="1:5" ht="24.95" customHeight="1" x14ac:dyDescent="0.2">
      <c r="A94" s="247" t="b">
        <f t="shared" si="4"/>
        <v>1</v>
      </c>
      <c r="B94" s="273" t="s">
        <v>376</v>
      </c>
      <c r="C94" s="252"/>
      <c r="D94" s="250" t="s">
        <v>305</v>
      </c>
    </row>
    <row r="95" spans="1:5" ht="24.95" customHeight="1" x14ac:dyDescent="0.2">
      <c r="A95" s="247" t="b">
        <f>POOL</f>
        <v>1</v>
      </c>
      <c r="B95" s="248" t="s">
        <v>43</v>
      </c>
      <c r="C95" s="249"/>
      <c r="E95" s="274"/>
    </row>
    <row r="96" spans="1:5" ht="24.95" customHeight="1" x14ac:dyDescent="0.2">
      <c r="A96" s="247" t="b">
        <f>POOL</f>
        <v>1</v>
      </c>
      <c r="B96" s="255" t="s">
        <v>377</v>
      </c>
      <c r="C96" s="275"/>
      <c r="D96" s="250" t="s">
        <v>311</v>
      </c>
      <c r="E96" s="274"/>
    </row>
    <row r="97" spans="1:5" ht="24.95" customHeight="1" x14ac:dyDescent="0.2">
      <c r="A97" s="247" t="b">
        <f>POOL</f>
        <v>1</v>
      </c>
      <c r="B97" s="263" t="s">
        <v>378</v>
      </c>
      <c r="C97" s="257"/>
      <c r="D97" s="250" t="s">
        <v>307</v>
      </c>
      <c r="E97" s="276"/>
    </row>
    <row r="98" spans="1:5" ht="24.95" customHeight="1" x14ac:dyDescent="0.2">
      <c r="A98" s="247" t="b">
        <f>ELC</f>
        <v>1</v>
      </c>
      <c r="B98" s="248" t="s">
        <v>31</v>
      </c>
      <c r="C98" s="277"/>
    </row>
    <row r="99" spans="1:5" ht="24.95" customHeight="1" x14ac:dyDescent="0.2">
      <c r="A99" s="247" t="b">
        <f>ELC</f>
        <v>1</v>
      </c>
      <c r="B99" s="255" t="s">
        <v>379</v>
      </c>
      <c r="C99" s="275"/>
      <c r="D99" s="250" t="s">
        <v>311</v>
      </c>
    </row>
    <row r="100" spans="1:5" ht="24.95" customHeight="1" x14ac:dyDescent="0.2">
      <c r="A100" s="247">
        <f>C99</f>
        <v>0</v>
      </c>
      <c r="B100" s="255" t="s">
        <v>380</v>
      </c>
      <c r="C100" s="252"/>
      <c r="D100" s="250" t="s">
        <v>305</v>
      </c>
    </row>
    <row r="101" spans="1:5" ht="24.95" customHeight="1" x14ac:dyDescent="0.2">
      <c r="A101" s="247">
        <f>C99</f>
        <v>0</v>
      </c>
      <c r="B101" s="255" t="s">
        <v>381</v>
      </c>
      <c r="C101" s="252"/>
      <c r="D101" s="250" t="s">
        <v>305</v>
      </c>
    </row>
    <row r="102" spans="1:5" ht="24.95" customHeight="1" x14ac:dyDescent="0.2">
      <c r="A102" s="247" t="b">
        <f>ELC</f>
        <v>1</v>
      </c>
      <c r="B102" s="268" t="s">
        <v>382</v>
      </c>
      <c r="C102" s="275"/>
      <c r="D102" s="250" t="s">
        <v>311</v>
      </c>
    </row>
    <row r="103" spans="1:5" ht="24.95" customHeight="1" x14ac:dyDescent="0.2">
      <c r="A103" s="247">
        <f>C102</f>
        <v>0</v>
      </c>
      <c r="B103" s="255" t="s">
        <v>383</v>
      </c>
      <c r="C103" s="252"/>
      <c r="D103" s="250" t="s">
        <v>305</v>
      </c>
    </row>
    <row r="104" spans="1:5" ht="24.95" customHeight="1" x14ac:dyDescent="0.2">
      <c r="A104" s="247" t="b">
        <f>ELC</f>
        <v>1</v>
      </c>
      <c r="B104" s="255" t="s">
        <v>384</v>
      </c>
      <c r="C104" s="275"/>
      <c r="D104" s="250" t="s">
        <v>311</v>
      </c>
    </row>
    <row r="105" spans="1:5" ht="24.95" customHeight="1" x14ac:dyDescent="0.2">
      <c r="A105" s="247" t="b">
        <f>ELC</f>
        <v>1</v>
      </c>
      <c r="B105" s="255" t="s">
        <v>385</v>
      </c>
      <c r="C105" s="275"/>
      <c r="D105" s="250" t="s">
        <v>311</v>
      </c>
    </row>
    <row r="106" spans="1:5" ht="24.95" customHeight="1" x14ac:dyDescent="0.2">
      <c r="A106" s="247" t="b">
        <f>ELC</f>
        <v>1</v>
      </c>
      <c r="B106" s="255" t="s">
        <v>386</v>
      </c>
      <c r="C106" s="275"/>
      <c r="D106" s="250" t="s">
        <v>311</v>
      </c>
    </row>
    <row r="107" spans="1:5" ht="24.95" customHeight="1" x14ac:dyDescent="0.2">
      <c r="A107" s="247" t="b">
        <f>ELC</f>
        <v>1</v>
      </c>
      <c r="B107" s="255" t="s">
        <v>387</v>
      </c>
      <c r="C107" s="275"/>
      <c r="D107" s="250" t="s">
        <v>311</v>
      </c>
    </row>
    <row r="108" spans="1:5" ht="24.95" customHeight="1" x14ac:dyDescent="0.2">
      <c r="A108" s="247" t="str">
        <f>IF(AND(ELC="Yes",C107="Yes"),"Yes","No")</f>
        <v>No</v>
      </c>
      <c r="B108" s="255" t="s">
        <v>388</v>
      </c>
      <c r="C108" s="252"/>
      <c r="D108" s="250" t="s">
        <v>305</v>
      </c>
    </row>
    <row r="109" spans="1:5" ht="24.95" customHeight="1" x14ac:dyDescent="0.2">
      <c r="A109" s="247" t="b">
        <f>ELC</f>
        <v>1</v>
      </c>
      <c r="B109" s="255" t="s">
        <v>389</v>
      </c>
      <c r="C109" s="275"/>
      <c r="D109" s="250" t="s">
        <v>311</v>
      </c>
    </row>
    <row r="110" spans="1:5" ht="24.95" customHeight="1" x14ac:dyDescent="0.2">
      <c r="A110" s="247" t="b">
        <f>MCH</f>
        <v>1</v>
      </c>
      <c r="B110" s="248" t="s">
        <v>39</v>
      </c>
      <c r="C110" s="249"/>
    </row>
    <row r="111" spans="1:5" ht="24.95" customHeight="1" x14ac:dyDescent="0.2">
      <c r="A111" s="247" t="b">
        <f>MCH</f>
        <v>1</v>
      </c>
      <c r="B111" s="255" t="s">
        <v>390</v>
      </c>
      <c r="C111" s="275"/>
      <c r="D111" s="250" t="s">
        <v>311</v>
      </c>
    </row>
    <row r="112" spans="1:5" ht="24.95" customHeight="1" x14ac:dyDescent="0.2">
      <c r="A112" s="247" t="str">
        <f>IF(AND(MCH="Yes",C111="Yes"),"Yes","No")</f>
        <v>No</v>
      </c>
      <c r="B112" s="255" t="s">
        <v>391</v>
      </c>
      <c r="C112" s="252"/>
      <c r="D112" s="250" t="s">
        <v>305</v>
      </c>
    </row>
    <row r="113" spans="1:4" ht="24.95" customHeight="1" x14ac:dyDescent="0.2">
      <c r="A113" s="247" t="b">
        <f>MCH</f>
        <v>1</v>
      </c>
      <c r="B113" s="255" t="s">
        <v>392</v>
      </c>
      <c r="C113" s="275"/>
      <c r="D113" s="250" t="s">
        <v>311</v>
      </c>
    </row>
    <row r="114" spans="1:4" ht="24.95" customHeight="1" x14ac:dyDescent="0.2">
      <c r="A114" s="247" t="str">
        <f>IF(AND(MCH="Yes",C113="Yes"),"Yes","No")</f>
        <v>No</v>
      </c>
      <c r="B114" s="255" t="s">
        <v>393</v>
      </c>
      <c r="C114" s="275"/>
    </row>
    <row r="115" spans="1:4" ht="24.95" customHeight="1" x14ac:dyDescent="0.2">
      <c r="A115" s="247" t="str">
        <f>IF(AND(MCH="Yes",C113="Yes"),"Yes","No")</f>
        <v>No</v>
      </c>
      <c r="B115" s="255" t="s">
        <v>394</v>
      </c>
      <c r="C115" s="252"/>
      <c r="D115" s="250" t="s">
        <v>305</v>
      </c>
    </row>
    <row r="116" spans="1:4" ht="24.95" customHeight="1" x14ac:dyDescent="0.2">
      <c r="A116" s="247" t="b">
        <f>PLB</f>
        <v>1</v>
      </c>
      <c r="B116" s="248" t="s">
        <v>41</v>
      </c>
      <c r="C116" s="249"/>
    </row>
    <row r="117" spans="1:4" ht="24.95" customHeight="1" x14ac:dyDescent="0.2">
      <c r="A117" s="247" t="b">
        <f>PLB</f>
        <v>1</v>
      </c>
      <c r="B117" s="255" t="s">
        <v>395</v>
      </c>
      <c r="C117" s="275"/>
      <c r="D117" s="250" t="s">
        <v>311</v>
      </c>
    </row>
    <row r="118" spans="1:4" ht="24.95" customHeight="1" x14ac:dyDescent="0.2">
      <c r="A118" s="247">
        <f>C117</f>
        <v>0</v>
      </c>
      <c r="B118" s="255" t="s">
        <v>396</v>
      </c>
      <c r="C118" s="275"/>
      <c r="D118" s="250" t="s">
        <v>311</v>
      </c>
    </row>
    <row r="119" spans="1:4" ht="24.95" customHeight="1" x14ac:dyDescent="0.2">
      <c r="A119" s="247">
        <f>C117</f>
        <v>0</v>
      </c>
      <c r="B119" s="255" t="s">
        <v>397</v>
      </c>
      <c r="C119" s="275"/>
      <c r="D119" s="250" t="s">
        <v>311</v>
      </c>
    </row>
    <row r="120" spans="1:4" ht="24.95" customHeight="1" x14ac:dyDescent="0.2">
      <c r="A120" s="247">
        <f>C117</f>
        <v>0</v>
      </c>
      <c r="B120" s="255" t="s">
        <v>398</v>
      </c>
      <c r="C120" s="275"/>
      <c r="D120" s="250" t="s">
        <v>311</v>
      </c>
    </row>
    <row r="121" spans="1:4" ht="24.95" customHeight="1" x14ac:dyDescent="0.2">
      <c r="A121" s="247" t="b">
        <f>PLB</f>
        <v>1</v>
      </c>
      <c r="B121" s="255" t="s">
        <v>399</v>
      </c>
      <c r="C121" s="275"/>
      <c r="D121" s="250" t="s">
        <v>311</v>
      </c>
    </row>
    <row r="122" spans="1:4" ht="24.95" customHeight="1" x14ac:dyDescent="0.2">
      <c r="A122" s="247">
        <f>C121</f>
        <v>0</v>
      </c>
      <c r="B122" s="255" t="s">
        <v>400</v>
      </c>
      <c r="C122" s="275"/>
      <c r="D122" s="250" t="s">
        <v>311</v>
      </c>
    </row>
    <row r="123" spans="1:4" ht="24.95" customHeight="1" x14ac:dyDescent="0.2">
      <c r="A123" s="247" t="str">
        <f>IF(C122="No","Yes","No")</f>
        <v>No</v>
      </c>
      <c r="B123" s="255" t="s">
        <v>401</v>
      </c>
      <c r="C123" s="256"/>
      <c r="D123" s="250" t="s">
        <v>307</v>
      </c>
    </row>
    <row r="124" spans="1:4" ht="24.95" customHeight="1" x14ac:dyDescent="0.2">
      <c r="A124" s="247" t="b">
        <f>PLB</f>
        <v>1</v>
      </c>
      <c r="B124" s="255" t="s">
        <v>402</v>
      </c>
      <c r="C124" s="275"/>
      <c r="D124" s="250" t="s">
        <v>311</v>
      </c>
    </row>
    <row r="125" spans="1:4" ht="24.95" customHeight="1" x14ac:dyDescent="0.2">
      <c r="A125" s="247">
        <f>C124</f>
        <v>0</v>
      </c>
      <c r="B125" s="255" t="s">
        <v>403</v>
      </c>
      <c r="C125" s="252"/>
      <c r="D125" s="250" t="s">
        <v>305</v>
      </c>
    </row>
    <row r="126" spans="1:4" ht="24.95" customHeight="1" x14ac:dyDescent="0.2">
      <c r="A126" s="247" t="b">
        <f>PLB</f>
        <v>1</v>
      </c>
      <c r="B126" s="255" t="s">
        <v>404</v>
      </c>
      <c r="C126" s="275"/>
      <c r="D126" s="250" t="s">
        <v>311</v>
      </c>
    </row>
    <row r="127" spans="1:4" ht="24.95" customHeight="1" x14ac:dyDescent="0.2">
      <c r="A127" s="247" t="b">
        <f>PLB</f>
        <v>1</v>
      </c>
      <c r="B127" s="255" t="s">
        <v>405</v>
      </c>
      <c r="C127" s="275"/>
      <c r="D127" s="250" t="s">
        <v>311</v>
      </c>
    </row>
    <row r="128" spans="1:4" ht="24.95" customHeight="1" x14ac:dyDescent="0.2">
      <c r="A128" s="247" t="b">
        <f>PLB</f>
        <v>1</v>
      </c>
      <c r="B128" s="255" t="s">
        <v>406</v>
      </c>
      <c r="C128" s="275"/>
      <c r="D128" s="250" t="s">
        <v>311</v>
      </c>
    </row>
    <row r="129" spans="1:4" ht="24.95" customHeight="1" x14ac:dyDescent="0.2">
      <c r="A129" s="247" t="b">
        <f>PLB</f>
        <v>1</v>
      </c>
      <c r="B129" s="255" t="s">
        <v>407</v>
      </c>
      <c r="C129" s="275"/>
      <c r="D129" s="250" t="s">
        <v>311</v>
      </c>
    </row>
    <row r="130" spans="1:4" ht="24.95" customHeight="1" x14ac:dyDescent="0.2">
      <c r="A130" s="247" t="str">
        <f>IF($C$17="Addition","Yes","No")</f>
        <v>No</v>
      </c>
      <c r="B130" s="248" t="s">
        <v>408</v>
      </c>
      <c r="C130" s="277"/>
    </row>
    <row r="131" spans="1:4" ht="24.95" customHeight="1" x14ac:dyDescent="0.2">
      <c r="A131" s="247" t="str">
        <f>$A$130</f>
        <v>No</v>
      </c>
      <c r="B131" s="255" t="s">
        <v>409</v>
      </c>
      <c r="C131" s="277"/>
    </row>
    <row r="132" spans="1:4" ht="24.95" customHeight="1" x14ac:dyDescent="0.2">
      <c r="A132" s="247" t="str">
        <f>$A$130</f>
        <v>No</v>
      </c>
      <c r="B132" s="255" t="s">
        <v>410</v>
      </c>
      <c r="C132" s="252"/>
      <c r="D132" s="250" t="s">
        <v>311</v>
      </c>
    </row>
    <row r="133" spans="1:4" ht="24.95" customHeight="1" x14ac:dyDescent="0.2">
      <c r="A133" s="247" t="str">
        <f>$A$130</f>
        <v>No</v>
      </c>
      <c r="B133" s="255" t="s">
        <v>411</v>
      </c>
      <c r="C133" s="252"/>
      <c r="D133" s="250" t="s">
        <v>311</v>
      </c>
    </row>
    <row r="134" spans="1:4" ht="24.95" customHeight="1" x14ac:dyDescent="0.2">
      <c r="A134" s="247" t="str">
        <f>$A$130</f>
        <v>No</v>
      </c>
      <c r="B134" s="255" t="s">
        <v>412</v>
      </c>
      <c r="C134" s="252"/>
      <c r="D134" s="250" t="s">
        <v>311</v>
      </c>
    </row>
    <row r="135" spans="1:4" ht="24.95" customHeight="1" x14ac:dyDescent="0.2">
      <c r="A135" s="247" t="str">
        <f>$A$130</f>
        <v>No</v>
      </c>
      <c r="B135" s="263" t="s">
        <v>413</v>
      </c>
      <c r="C135" s="252"/>
      <c r="D135" s="250" t="s">
        <v>311</v>
      </c>
    </row>
    <row r="136" spans="1:4" ht="24.95" customHeight="1" x14ac:dyDescent="0.2">
      <c r="A136" s="247" t="str">
        <f>IF($C$17="Alteration/Repair/Replacement","Yes","No")</f>
        <v>No</v>
      </c>
      <c r="B136" s="248" t="s">
        <v>414</v>
      </c>
      <c r="C136" s="249"/>
    </row>
    <row r="137" spans="1:4" ht="24.95" customHeight="1" x14ac:dyDescent="0.2">
      <c r="A137" s="247" t="str">
        <f>$A$136</f>
        <v>No</v>
      </c>
      <c r="B137" s="255" t="s">
        <v>415</v>
      </c>
      <c r="C137" s="256"/>
    </row>
    <row r="138" spans="1:4" ht="24.95" customHeight="1" x14ac:dyDescent="0.2">
      <c r="A138" s="247" t="str">
        <f>$A$136</f>
        <v>No</v>
      </c>
      <c r="B138" s="278" t="s">
        <v>416</v>
      </c>
      <c r="C138" s="275"/>
      <c r="D138" s="250" t="s">
        <v>311</v>
      </c>
    </row>
    <row r="139" spans="1:4" ht="24.95" customHeight="1" x14ac:dyDescent="0.2">
      <c r="A139" s="247">
        <f>C138</f>
        <v>0</v>
      </c>
      <c r="B139" s="255" t="s">
        <v>417</v>
      </c>
      <c r="C139" s="279"/>
      <c r="D139" s="250" t="s">
        <v>418</v>
      </c>
    </row>
    <row r="140" spans="1:4" ht="24.95" customHeight="1" x14ac:dyDescent="0.2">
      <c r="A140" s="247">
        <f>C138</f>
        <v>0</v>
      </c>
      <c r="B140" s="255" t="s">
        <v>419</v>
      </c>
      <c r="C140" s="252"/>
    </row>
    <row r="141" spans="1:4" ht="24.95" customHeight="1" x14ac:dyDescent="0.2">
      <c r="A141" s="247" t="str">
        <f>IF($C$140="No","Yes","No")</f>
        <v>No</v>
      </c>
      <c r="B141" s="255" t="s">
        <v>420</v>
      </c>
      <c r="C141" s="252"/>
    </row>
    <row r="142" spans="1:4" ht="24.95" customHeight="1" x14ac:dyDescent="0.2">
      <c r="A142" s="247" t="str">
        <f>IF($C$141="Other","Yes","No")</f>
        <v>No</v>
      </c>
      <c r="B142" s="273" t="s">
        <v>421</v>
      </c>
      <c r="C142" s="256"/>
      <c r="D142" s="250" t="s">
        <v>307</v>
      </c>
    </row>
    <row r="143" spans="1:4" ht="24.95" customHeight="1" x14ac:dyDescent="0.2">
      <c r="A143" s="247">
        <f>C138</f>
        <v>0</v>
      </c>
      <c r="B143" s="255" t="s">
        <v>422</v>
      </c>
      <c r="C143" s="252"/>
    </row>
    <row r="144" spans="1:4" ht="24.95" customHeight="1" x14ac:dyDescent="0.2">
      <c r="A144" s="247" t="str">
        <f>IF($C$143="Other","Yes","No")</f>
        <v>No</v>
      </c>
      <c r="B144" s="263" t="s">
        <v>423</v>
      </c>
      <c r="C144" s="257"/>
      <c r="D144" s="250" t="s">
        <v>307</v>
      </c>
    </row>
    <row r="145" spans="1:4" ht="24.95" customHeight="1" x14ac:dyDescent="0.2">
      <c r="A145" s="247" t="str">
        <f t="shared" ref="A145:A151" si="5">$A$136</f>
        <v>No</v>
      </c>
      <c r="B145" s="278" t="s">
        <v>424</v>
      </c>
      <c r="C145" s="280"/>
      <c r="D145" s="250" t="s">
        <v>311</v>
      </c>
    </row>
    <row r="146" spans="1:4" ht="24.95" customHeight="1" x14ac:dyDescent="0.2">
      <c r="A146" s="247" t="str">
        <f t="shared" si="5"/>
        <v>No</v>
      </c>
      <c r="B146" s="255" t="s">
        <v>425</v>
      </c>
      <c r="C146" s="252"/>
      <c r="D146" s="250" t="s">
        <v>311</v>
      </c>
    </row>
    <row r="147" spans="1:4" ht="24.95" customHeight="1" x14ac:dyDescent="0.2">
      <c r="A147" s="247" t="str">
        <f t="shared" si="5"/>
        <v>No</v>
      </c>
      <c r="B147" s="255" t="s">
        <v>426</v>
      </c>
      <c r="C147" s="252"/>
      <c r="D147" s="250" t="s">
        <v>311</v>
      </c>
    </row>
    <row r="148" spans="1:4" ht="24.95" customHeight="1" x14ac:dyDescent="0.2">
      <c r="A148" s="247" t="str">
        <f t="shared" si="5"/>
        <v>No</v>
      </c>
      <c r="B148" s="255" t="s">
        <v>427</v>
      </c>
      <c r="C148" s="252"/>
      <c r="D148" s="250" t="s">
        <v>311</v>
      </c>
    </row>
    <row r="149" spans="1:4" ht="24.95" customHeight="1" x14ac:dyDescent="0.2">
      <c r="A149" s="247" t="str">
        <f t="shared" si="5"/>
        <v>No</v>
      </c>
      <c r="B149" s="255" t="s">
        <v>428</v>
      </c>
      <c r="C149" s="252"/>
      <c r="D149" s="250" t="s">
        <v>311</v>
      </c>
    </row>
    <row r="150" spans="1:4" ht="24.95" customHeight="1" x14ac:dyDescent="0.2">
      <c r="A150" s="247" t="str">
        <f t="shared" si="5"/>
        <v>No</v>
      </c>
      <c r="B150" s="255" t="s">
        <v>429</v>
      </c>
      <c r="C150" s="252"/>
      <c r="D150" s="250" t="s">
        <v>311</v>
      </c>
    </row>
    <row r="151" spans="1:4" ht="24.95" customHeight="1" x14ac:dyDescent="0.2">
      <c r="A151" s="247" t="str">
        <f t="shared" si="5"/>
        <v>No</v>
      </c>
      <c r="B151" s="263" t="s">
        <v>430</v>
      </c>
      <c r="C151" s="257"/>
      <c r="D151" s="250" t="s">
        <v>307</v>
      </c>
    </row>
    <row r="152" spans="1:4" ht="24.95" customHeight="1" x14ac:dyDescent="0.2">
      <c r="A152" s="247" t="str">
        <f>IF($C$17="New","Yes","No")</f>
        <v>No</v>
      </c>
      <c r="B152" s="248" t="s">
        <v>431</v>
      </c>
      <c r="C152" s="249"/>
    </row>
    <row r="153" spans="1:4" ht="24.95" customHeight="1" x14ac:dyDescent="0.2">
      <c r="A153" s="247" t="str">
        <f t="shared" ref="A153:A159" si="6">$A$152</f>
        <v>No</v>
      </c>
      <c r="B153" s="255" t="s">
        <v>299</v>
      </c>
      <c r="C153" s="277"/>
    </row>
    <row r="154" spans="1:4" ht="24.95" customHeight="1" x14ac:dyDescent="0.2">
      <c r="A154" s="247" t="str">
        <f t="shared" si="6"/>
        <v>No</v>
      </c>
      <c r="B154" s="255" t="s">
        <v>432</v>
      </c>
      <c r="C154" s="252"/>
      <c r="D154" s="250" t="s">
        <v>311</v>
      </c>
    </row>
    <row r="155" spans="1:4" ht="24.95" customHeight="1" x14ac:dyDescent="0.2">
      <c r="A155" s="247" t="str">
        <f t="shared" si="6"/>
        <v>No</v>
      </c>
      <c r="B155" s="273" t="s">
        <v>433</v>
      </c>
      <c r="C155" s="252"/>
      <c r="D155" s="250" t="s">
        <v>311</v>
      </c>
    </row>
    <row r="156" spans="1:4" ht="24.95" customHeight="1" x14ac:dyDescent="0.2">
      <c r="A156" s="247" t="str">
        <f t="shared" si="6"/>
        <v>No</v>
      </c>
      <c r="B156" s="273" t="s">
        <v>434</v>
      </c>
      <c r="C156" s="252"/>
      <c r="D156" s="250" t="s">
        <v>311</v>
      </c>
    </row>
    <row r="157" spans="1:4" ht="24.95" customHeight="1" x14ac:dyDescent="0.2">
      <c r="A157" s="247" t="str">
        <f t="shared" si="6"/>
        <v>No</v>
      </c>
      <c r="B157" s="273" t="s">
        <v>435</v>
      </c>
      <c r="C157" s="252"/>
      <c r="D157" s="250" t="s">
        <v>311</v>
      </c>
    </row>
    <row r="158" spans="1:4" ht="24.95" customHeight="1" x14ac:dyDescent="0.2">
      <c r="A158" s="247" t="str">
        <f t="shared" si="6"/>
        <v>No</v>
      </c>
      <c r="B158" s="273" t="s">
        <v>436</v>
      </c>
      <c r="C158" s="252"/>
      <c r="D158" s="250" t="s">
        <v>311</v>
      </c>
    </row>
    <row r="159" spans="1:4" ht="24.95" customHeight="1" x14ac:dyDescent="0.2">
      <c r="A159" s="247" t="str">
        <f t="shared" si="6"/>
        <v>No</v>
      </c>
      <c r="B159" s="255" t="s">
        <v>437</v>
      </c>
      <c r="C159" s="252"/>
      <c r="D159" s="250" t="s">
        <v>311</v>
      </c>
    </row>
    <row r="160" spans="1:4" ht="24.95" customHeight="1" x14ac:dyDescent="0.2">
      <c r="A160" s="247" t="str">
        <f>IF(C16="Commercial Building","Yes","No")</f>
        <v>No</v>
      </c>
      <c r="B160" s="248" t="s">
        <v>438</v>
      </c>
      <c r="C160" s="249"/>
    </row>
    <row r="161" spans="1:4" ht="24.95" customHeight="1" x14ac:dyDescent="0.2">
      <c r="A161" s="247" t="str">
        <f t="shared" ref="A161:A169" si="7">$A$160</f>
        <v>No</v>
      </c>
      <c r="B161" s="255" t="s">
        <v>439</v>
      </c>
      <c r="C161" s="252"/>
      <c r="D161" s="250" t="s">
        <v>311</v>
      </c>
    </row>
    <row r="162" spans="1:4" ht="24.95" customHeight="1" x14ac:dyDescent="0.2">
      <c r="A162" s="247" t="str">
        <f t="shared" si="7"/>
        <v>No</v>
      </c>
      <c r="B162" s="255" t="s">
        <v>440</v>
      </c>
      <c r="C162" s="252"/>
      <c r="D162" s="250" t="s">
        <v>311</v>
      </c>
    </row>
    <row r="163" spans="1:4" ht="24.95" customHeight="1" x14ac:dyDescent="0.2">
      <c r="A163" s="247" t="str">
        <f t="shared" si="7"/>
        <v>No</v>
      </c>
      <c r="B163" s="255" t="s">
        <v>441</v>
      </c>
      <c r="C163" s="252"/>
      <c r="D163" s="250" t="s">
        <v>311</v>
      </c>
    </row>
    <row r="164" spans="1:4" ht="24.95" customHeight="1" x14ac:dyDescent="0.2">
      <c r="A164" s="247" t="str">
        <f t="shared" si="7"/>
        <v>No</v>
      </c>
      <c r="B164" s="255" t="s">
        <v>442</v>
      </c>
      <c r="C164" s="252"/>
      <c r="D164" s="250" t="s">
        <v>311</v>
      </c>
    </row>
    <row r="165" spans="1:4" ht="24.95" customHeight="1" x14ac:dyDescent="0.2">
      <c r="A165" s="247" t="str">
        <f t="shared" si="7"/>
        <v>No</v>
      </c>
      <c r="B165" s="255" t="s">
        <v>443</v>
      </c>
      <c r="C165" s="252"/>
      <c r="D165" s="250" t="s">
        <v>311</v>
      </c>
    </row>
    <row r="166" spans="1:4" ht="24.95" customHeight="1" x14ac:dyDescent="0.2">
      <c r="A166" s="247" t="str">
        <f t="shared" si="7"/>
        <v>No</v>
      </c>
      <c r="B166" s="255" t="s">
        <v>444</v>
      </c>
      <c r="C166" s="252"/>
      <c r="D166" s="250" t="s">
        <v>311</v>
      </c>
    </row>
    <row r="167" spans="1:4" ht="24.95" customHeight="1" x14ac:dyDescent="0.2">
      <c r="A167" s="247" t="str">
        <f t="shared" si="7"/>
        <v>No</v>
      </c>
      <c r="B167" s="255" t="s">
        <v>445</v>
      </c>
      <c r="C167" s="252"/>
      <c r="D167" s="250" t="s">
        <v>311</v>
      </c>
    </row>
    <row r="168" spans="1:4" ht="24.95" customHeight="1" x14ac:dyDescent="0.2">
      <c r="A168" s="247" t="str">
        <f t="shared" si="7"/>
        <v>No</v>
      </c>
      <c r="B168" s="255" t="s">
        <v>446</v>
      </c>
      <c r="C168" s="252"/>
      <c r="D168" s="250" t="s">
        <v>311</v>
      </c>
    </row>
    <row r="169" spans="1:4" ht="24.95" customHeight="1" x14ac:dyDescent="0.2">
      <c r="A169" s="247" t="str">
        <f t="shared" si="7"/>
        <v>No</v>
      </c>
      <c r="B169" s="263" t="s">
        <v>430</v>
      </c>
      <c r="C169" s="257"/>
      <c r="D169" s="250" t="s">
        <v>307</v>
      </c>
    </row>
    <row r="170" spans="1:4" ht="24.95" customHeight="1" x14ac:dyDescent="0.2">
      <c r="A170" s="281">
        <f>C161</f>
        <v>0</v>
      </c>
      <c r="B170" s="258" t="s">
        <v>447</v>
      </c>
      <c r="C170" s="280"/>
      <c r="D170" s="250" t="s">
        <v>305</v>
      </c>
    </row>
    <row r="171" spans="1:4" ht="24.95" customHeight="1" x14ac:dyDescent="0.2">
      <c r="A171" s="281">
        <f t="shared" ref="A171:A177" si="8">C162</f>
        <v>0</v>
      </c>
      <c r="B171" s="255" t="s">
        <v>448</v>
      </c>
      <c r="C171" s="252"/>
      <c r="D171" s="250" t="s">
        <v>305</v>
      </c>
    </row>
    <row r="172" spans="1:4" ht="24.95" customHeight="1" x14ac:dyDescent="0.2">
      <c r="A172" s="281">
        <f t="shared" si="8"/>
        <v>0</v>
      </c>
      <c r="B172" s="255" t="s">
        <v>449</v>
      </c>
      <c r="C172" s="252"/>
      <c r="D172" s="250" t="s">
        <v>305</v>
      </c>
    </row>
    <row r="173" spans="1:4" ht="24.95" customHeight="1" x14ac:dyDescent="0.2">
      <c r="A173" s="281">
        <f t="shared" si="8"/>
        <v>0</v>
      </c>
      <c r="B173" s="255" t="s">
        <v>450</v>
      </c>
      <c r="C173" s="252"/>
      <c r="D173" s="250" t="s">
        <v>305</v>
      </c>
    </row>
    <row r="174" spans="1:4" ht="24.95" customHeight="1" x14ac:dyDescent="0.2">
      <c r="A174" s="281">
        <f t="shared" si="8"/>
        <v>0</v>
      </c>
      <c r="B174" s="255" t="s">
        <v>451</v>
      </c>
      <c r="C174" s="252"/>
      <c r="D174" s="250" t="s">
        <v>305</v>
      </c>
    </row>
    <row r="175" spans="1:4" ht="24.95" customHeight="1" x14ac:dyDescent="0.2">
      <c r="A175" s="281">
        <f t="shared" si="8"/>
        <v>0</v>
      </c>
      <c r="B175" s="255" t="s">
        <v>452</v>
      </c>
      <c r="C175" s="252"/>
      <c r="D175" s="250" t="s">
        <v>305</v>
      </c>
    </row>
    <row r="176" spans="1:4" ht="24.95" customHeight="1" x14ac:dyDescent="0.2">
      <c r="A176" s="281">
        <f t="shared" si="8"/>
        <v>0</v>
      </c>
      <c r="B176" s="255" t="s">
        <v>453</v>
      </c>
      <c r="C176" s="252"/>
      <c r="D176" s="250" t="s">
        <v>305</v>
      </c>
    </row>
    <row r="177" spans="1:4" ht="24.95" customHeight="1" x14ac:dyDescent="0.2">
      <c r="A177" s="281">
        <f t="shared" si="8"/>
        <v>0</v>
      </c>
      <c r="B177" s="263" t="s">
        <v>454</v>
      </c>
      <c r="C177" s="282"/>
      <c r="D177" s="250" t="s">
        <v>305</v>
      </c>
    </row>
    <row r="178" spans="1:4" ht="24.95" customHeight="1" x14ac:dyDescent="0.2">
      <c r="A178" s="247" t="str">
        <f t="shared" ref="A178:A187" si="9">$A$160</f>
        <v>No</v>
      </c>
      <c r="B178" s="278" t="s">
        <v>455</v>
      </c>
      <c r="C178" s="275"/>
      <c r="D178" s="250" t="s">
        <v>305</v>
      </c>
    </row>
    <row r="179" spans="1:4" ht="24.95" customHeight="1" x14ac:dyDescent="0.2">
      <c r="A179" s="247" t="str">
        <f t="shared" si="9"/>
        <v>No</v>
      </c>
      <c r="B179" s="255" t="s">
        <v>456</v>
      </c>
      <c r="C179" s="252"/>
      <c r="D179" s="250" t="s">
        <v>305</v>
      </c>
    </row>
    <row r="180" spans="1:4" ht="24.95" customHeight="1" x14ac:dyDescent="0.2">
      <c r="A180" s="247" t="str">
        <f t="shared" si="9"/>
        <v>No</v>
      </c>
      <c r="B180" s="263" t="s">
        <v>457</v>
      </c>
      <c r="C180" s="282"/>
      <c r="D180" s="250" t="s">
        <v>305</v>
      </c>
    </row>
    <row r="181" spans="1:4" ht="24.95" customHeight="1" x14ac:dyDescent="0.2">
      <c r="A181" s="247" t="str">
        <f t="shared" si="9"/>
        <v>No</v>
      </c>
      <c r="B181" s="278" t="s">
        <v>458</v>
      </c>
      <c r="C181" s="252"/>
      <c r="D181" s="250" t="s">
        <v>311</v>
      </c>
    </row>
    <row r="182" spans="1:4" ht="24.95" customHeight="1" x14ac:dyDescent="0.2">
      <c r="A182" s="247" t="str">
        <f t="shared" si="9"/>
        <v>No</v>
      </c>
      <c r="B182" s="255" t="s">
        <v>459</v>
      </c>
      <c r="C182" s="252"/>
      <c r="D182" s="250" t="s">
        <v>311</v>
      </c>
    </row>
    <row r="183" spans="1:4" ht="24.95" customHeight="1" x14ac:dyDescent="0.2">
      <c r="A183" s="247" t="str">
        <f t="shared" si="9"/>
        <v>No</v>
      </c>
      <c r="B183" s="255" t="s">
        <v>460</v>
      </c>
      <c r="C183" s="252"/>
      <c r="D183" s="250" t="s">
        <v>307</v>
      </c>
    </row>
    <row r="184" spans="1:4" ht="24.95" customHeight="1" x14ac:dyDescent="0.2">
      <c r="A184" s="247" t="str">
        <f t="shared" si="9"/>
        <v>No</v>
      </c>
      <c r="B184" s="255" t="s">
        <v>461</v>
      </c>
      <c r="C184" s="252"/>
      <c r="D184" s="250" t="s">
        <v>305</v>
      </c>
    </row>
    <row r="185" spans="1:4" ht="24.95" customHeight="1" x14ac:dyDescent="0.2">
      <c r="A185" s="247" t="str">
        <f t="shared" si="9"/>
        <v>No</v>
      </c>
      <c r="B185" s="255" t="s">
        <v>462</v>
      </c>
      <c r="C185" s="252" t="s">
        <v>463</v>
      </c>
      <c r="D185" s="250" t="s">
        <v>311</v>
      </c>
    </row>
    <row r="186" spans="1:4" ht="24.95" customHeight="1" x14ac:dyDescent="0.2">
      <c r="A186" s="247" t="str">
        <f t="shared" si="9"/>
        <v>No</v>
      </c>
      <c r="B186" s="255" t="s">
        <v>464</v>
      </c>
      <c r="C186" s="252" t="s">
        <v>463</v>
      </c>
      <c r="D186" s="250" t="s">
        <v>311</v>
      </c>
    </row>
    <row r="187" spans="1:4" ht="24.95" customHeight="1" x14ac:dyDescent="0.2">
      <c r="A187" s="247" t="str">
        <f t="shared" si="9"/>
        <v>No</v>
      </c>
      <c r="B187" s="255" t="s">
        <v>465</v>
      </c>
      <c r="C187" s="252" t="s">
        <v>463</v>
      </c>
      <c r="D187" s="250" t="s">
        <v>311</v>
      </c>
    </row>
    <row r="188" spans="1:4" ht="24.95" customHeight="1" x14ac:dyDescent="0.2">
      <c r="A188" s="247" t="str">
        <f>IF(C16="Accessory Structure","Yes","No")</f>
        <v>No</v>
      </c>
      <c r="B188" s="248" t="s">
        <v>466</v>
      </c>
      <c r="C188" s="249"/>
    </row>
    <row r="189" spans="1:4" ht="24.95" customHeight="1" x14ac:dyDescent="0.2">
      <c r="A189" s="247" t="str">
        <f t="shared" ref="A189:A195" si="10">$A$188</f>
        <v>No</v>
      </c>
      <c r="B189" s="255" t="s">
        <v>467</v>
      </c>
      <c r="C189" s="252" t="s">
        <v>463</v>
      </c>
      <c r="D189" s="250" t="s">
        <v>311</v>
      </c>
    </row>
    <row r="190" spans="1:4" ht="24.95" customHeight="1" x14ac:dyDescent="0.2">
      <c r="A190" s="247" t="str">
        <f t="shared" si="10"/>
        <v>No</v>
      </c>
      <c r="B190" s="255" t="s">
        <v>468</v>
      </c>
      <c r="C190" s="252" t="s">
        <v>463</v>
      </c>
      <c r="D190" s="250" t="s">
        <v>311</v>
      </c>
    </row>
    <row r="191" spans="1:4" ht="24.95" customHeight="1" x14ac:dyDescent="0.2">
      <c r="A191" s="247" t="str">
        <f t="shared" si="10"/>
        <v>No</v>
      </c>
      <c r="B191" s="255" t="s">
        <v>469</v>
      </c>
      <c r="C191" s="252" t="s">
        <v>463</v>
      </c>
      <c r="D191" s="250" t="s">
        <v>311</v>
      </c>
    </row>
    <row r="192" spans="1:4" ht="24.95" customHeight="1" x14ac:dyDescent="0.2">
      <c r="A192" s="247" t="str">
        <f t="shared" si="10"/>
        <v>No</v>
      </c>
      <c r="B192" s="255" t="s">
        <v>470</v>
      </c>
      <c r="C192" s="252" t="s">
        <v>463</v>
      </c>
      <c r="D192" s="250" t="s">
        <v>311</v>
      </c>
    </row>
    <row r="193" spans="1:4" ht="24.95" customHeight="1" x14ac:dyDescent="0.2">
      <c r="A193" s="247" t="str">
        <f t="shared" si="10"/>
        <v>No</v>
      </c>
      <c r="B193" s="255" t="s">
        <v>471</v>
      </c>
      <c r="C193" s="252" t="s">
        <v>463</v>
      </c>
      <c r="D193" s="250" t="s">
        <v>311</v>
      </c>
    </row>
    <row r="194" spans="1:4" ht="24.95" customHeight="1" x14ac:dyDescent="0.2">
      <c r="A194" s="247" t="str">
        <f t="shared" si="10"/>
        <v>No</v>
      </c>
      <c r="B194" s="255" t="s">
        <v>472</v>
      </c>
      <c r="C194" s="252" t="s">
        <v>463</v>
      </c>
      <c r="D194" s="250" t="s">
        <v>311</v>
      </c>
    </row>
    <row r="195" spans="1:4" ht="24.95" customHeight="1" x14ac:dyDescent="0.2">
      <c r="A195" s="247" t="str">
        <f t="shared" si="10"/>
        <v>No</v>
      </c>
      <c r="B195" s="263" t="s">
        <v>473</v>
      </c>
      <c r="C195" s="252" t="s">
        <v>463</v>
      </c>
      <c r="D195" s="250" t="s">
        <v>311</v>
      </c>
    </row>
    <row r="196" spans="1:4" ht="24.95" customHeight="1" x14ac:dyDescent="0.2">
      <c r="A196" s="283" t="s">
        <v>296</v>
      </c>
      <c r="B196" s="255" t="s">
        <v>474</v>
      </c>
      <c r="C196" s="256"/>
      <c r="D196" s="250" t="s">
        <v>307</v>
      </c>
    </row>
    <row r="197" spans="1:4" ht="24.95" customHeight="1" x14ac:dyDescent="0.2">
      <c r="A197" s="283" t="s">
        <v>296</v>
      </c>
      <c r="B197" s="255" t="s">
        <v>266</v>
      </c>
      <c r="C197" s="256"/>
      <c r="D197" s="250" t="s">
        <v>307</v>
      </c>
    </row>
    <row r="198" spans="1:4" ht="24.95" customHeight="1" x14ac:dyDescent="0.2">
      <c r="A198" s="283" t="s">
        <v>296</v>
      </c>
      <c r="B198" s="255" t="s">
        <v>475</v>
      </c>
      <c r="C198" s="256"/>
      <c r="D198" s="250" t="s">
        <v>307</v>
      </c>
    </row>
    <row r="199" spans="1:4" ht="24.95" customHeight="1" x14ac:dyDescent="0.2">
      <c r="A199" s="283" t="s">
        <v>296</v>
      </c>
      <c r="B199" s="255" t="s">
        <v>476</v>
      </c>
      <c r="C199" s="252" t="s">
        <v>463</v>
      </c>
      <c r="D199" s="250" t="s">
        <v>311</v>
      </c>
    </row>
    <row r="200" spans="1:4" ht="24.95" customHeight="1" x14ac:dyDescent="0.2">
      <c r="A200" s="283" t="s">
        <v>296</v>
      </c>
      <c r="B200" s="255" t="s">
        <v>477</v>
      </c>
      <c r="C200" s="252" t="s">
        <v>463</v>
      </c>
      <c r="D200" s="250" t="s">
        <v>311</v>
      </c>
    </row>
    <row r="201" spans="1:4" ht="24.95" customHeight="1" x14ac:dyDescent="0.2">
      <c r="A201" s="283" t="s">
        <v>296</v>
      </c>
      <c r="B201" s="263" t="s">
        <v>478</v>
      </c>
      <c r="C201" s="252" t="s">
        <v>463</v>
      </c>
      <c r="D201" s="250" t="s">
        <v>311</v>
      </c>
    </row>
    <row r="202" spans="1:4" ht="24.95" customHeight="1" x14ac:dyDescent="0.2">
      <c r="B202" s="270" t="s">
        <v>479</v>
      </c>
    </row>
    <row r="203" spans="1:4" ht="24.95" customHeight="1" x14ac:dyDescent="0.2">
      <c r="A203" s="244" t="s">
        <v>480</v>
      </c>
      <c r="B203" s="245" t="s">
        <v>481</v>
      </c>
      <c r="C203" s="245" t="s">
        <v>294</v>
      </c>
      <c r="D203" s="246" t="s">
        <v>295</v>
      </c>
    </row>
    <row r="204" spans="1:4" ht="24.95" customHeight="1" x14ac:dyDescent="0.2">
      <c r="A204" s="247" t="str">
        <f>IF(OR($C$17="New",$C$17="Addition"),"Yes","No")</f>
        <v>No</v>
      </c>
      <c r="B204" s="258" t="str">
        <f>Reviews!I3</f>
        <v>Applicant.Fire</v>
      </c>
      <c r="C204" s="258"/>
    </row>
    <row r="205" spans="1:4" ht="24.95" customHeight="1" x14ac:dyDescent="0.2">
      <c r="A205" s="247" t="str">
        <f>IF(OR($C$16="Commercial Building",$C$17="New"),"Yes","No")</f>
        <v>No</v>
      </c>
      <c r="B205" s="255" t="str">
        <f>Reviews!I4</f>
        <v>Applicant.FSA</v>
      </c>
      <c r="C205" s="255"/>
    </row>
    <row r="206" spans="1:4" ht="24.95" customHeight="1" x14ac:dyDescent="0.2">
      <c r="A206" s="247" t="str">
        <f>IF(OR($C$17="New",$C$17="Addition"),"Yes","No")</f>
        <v>No</v>
      </c>
      <c r="B206" s="255" t="str">
        <f>Reviews!I5</f>
        <v>Applicant.School</v>
      </c>
      <c r="C206" s="255"/>
    </row>
    <row r="207" spans="1:4" ht="24.95" customHeight="1" x14ac:dyDescent="0.2">
      <c r="A207" s="247" t="str">
        <f>IF(OR(DEM="Yes",C16="Commercial Building"),"Yes","No")</f>
        <v>No</v>
      </c>
      <c r="B207" s="255" t="str">
        <f>Reviews!I6</f>
        <v>District.Air</v>
      </c>
      <c r="C207" s="255"/>
    </row>
    <row r="208" spans="1:4" ht="24.95" customHeight="1" x14ac:dyDescent="0.2">
      <c r="A208" s="247" t="str">
        <f>IF(OR($C$17="New",$C$17="Addition"),"Yes","No")</f>
        <v>No</v>
      </c>
      <c r="B208" s="255" t="str">
        <f>Reviews!I9</f>
        <v>DCS.Bldg.Full</v>
      </c>
      <c r="C208" s="255"/>
    </row>
    <row r="209" spans="1:3" ht="24.95" customHeight="1" x14ac:dyDescent="0.2">
      <c r="A209" s="247" t="str">
        <f>IF($C$16="Commercial Building","Yes","No")</f>
        <v>No</v>
      </c>
      <c r="B209" s="255" t="str">
        <f>Reviews!I10</f>
        <v>DCS.Bldg.Accessibility</v>
      </c>
      <c r="C209" s="255"/>
    </row>
    <row r="210" spans="1:3" ht="24.95" customHeight="1" x14ac:dyDescent="0.2">
      <c r="A210" s="247" t="str">
        <f>IF($C$17="New","Yes","No")</f>
        <v>No</v>
      </c>
      <c r="B210" s="255" t="str">
        <f>Reviews!I11</f>
        <v>DCS.Bldg.Addressing</v>
      </c>
      <c r="C210" s="255"/>
    </row>
    <row r="211" spans="1:3" ht="24.95" customHeight="1" x14ac:dyDescent="0.2">
      <c r="A211" s="247" t="str">
        <f>IF(AG,"Yes","No")</f>
        <v>Yes</v>
      </c>
      <c r="B211" s="255" t="str">
        <f>Reviews!I12</f>
        <v>DCS.Bldg.AgExempt</v>
      </c>
      <c r="C211" s="255"/>
    </row>
    <row r="212" spans="1:3" ht="24.95" customHeight="1" x14ac:dyDescent="0.2">
      <c r="A212" s="247" t="str">
        <f>IF(BLD,"Yes","No")</f>
        <v>No</v>
      </c>
      <c r="B212" s="255" t="str">
        <f>Reviews!I13</f>
        <v>DCS.Bldg.Architectural</v>
      </c>
      <c r="C212" s="255"/>
    </row>
    <row r="213" spans="1:3" ht="24.95" customHeight="1" x14ac:dyDescent="0.2">
      <c r="A213" s="247" t="str">
        <f>IF(C157,"Yes","No")</f>
        <v>No</v>
      </c>
      <c r="B213" s="255" t="str">
        <f>Reviews!I14</f>
        <v>DCS.Bldg.CC/MH/THOW</v>
      </c>
      <c r="C213" s="255"/>
    </row>
    <row r="214" spans="1:3" ht="24.95" customHeight="1" x14ac:dyDescent="0.2">
      <c r="A214" s="247" t="str">
        <f>IF(DEMO,"Yes","No")</f>
        <v>Yes</v>
      </c>
      <c r="B214" s="255" t="str">
        <f>Reviews!I15</f>
        <v>DCS.Bldg.Demolition</v>
      </c>
      <c r="C214" s="255"/>
    </row>
    <row r="215" spans="1:3" ht="24.95" customHeight="1" x14ac:dyDescent="0.2">
      <c r="A215" s="247" t="str">
        <f>IF(GRADE,"Yes","No")</f>
        <v>Yes</v>
      </c>
      <c r="B215" s="255" t="str">
        <f>Reviews!I16</f>
        <v>DCS.Bldg.Grading</v>
      </c>
      <c r="C215" s="255"/>
    </row>
    <row r="216" spans="1:3" ht="24.95" customHeight="1" x14ac:dyDescent="0.2">
      <c r="A216" s="247" t="str">
        <f>IF(OR($C$17="New",$C$17="Addition"),"Yes","No")</f>
        <v>No</v>
      </c>
      <c r="B216" s="255" t="str">
        <f>Reviews!I17</f>
        <v>DCS.Bldg.Green/Energy</v>
      </c>
      <c r="C216" s="255"/>
    </row>
    <row r="217" spans="1:3" ht="24.95" customHeight="1" x14ac:dyDescent="0.2">
      <c r="A217" s="247" t="str">
        <f>IF(ELC,"Yes","No")</f>
        <v>Yes</v>
      </c>
      <c r="B217" s="255" t="str">
        <f>Reviews!I18</f>
        <v>DCS.Bldg.Electrical</v>
      </c>
      <c r="C217" s="255"/>
    </row>
    <row r="218" spans="1:3" ht="24.95" customHeight="1" x14ac:dyDescent="0.2">
      <c r="A218" s="247" t="str">
        <f>IF(C107,"Yes","No")</f>
        <v>No</v>
      </c>
      <c r="B218" s="255" t="str">
        <f>Reviews!I19</f>
        <v>DCS.Bldg.Fire.Alarms</v>
      </c>
      <c r="C218" s="255"/>
    </row>
    <row r="219" spans="1:3" ht="24.95" customHeight="1" x14ac:dyDescent="0.2">
      <c r="A219" s="247" t="str">
        <f>IF(OR($C$17="New",$C$17="Addition"),"Yes","No")</f>
        <v>No</v>
      </c>
      <c r="B219" s="255" t="str">
        <f>Reviews!I20</f>
        <v>DCS.Bldg.Fire.Sprinklers</v>
      </c>
      <c r="C219" s="255"/>
    </row>
    <row r="220" spans="1:3" ht="24.95" customHeight="1" x14ac:dyDescent="0.2">
      <c r="A220" s="247" t="s">
        <v>482</v>
      </c>
      <c r="B220" s="255" t="str">
        <f>Reviews!I21</f>
        <v>DCS.Bldg.Flood</v>
      </c>
      <c r="C220" s="255"/>
    </row>
    <row r="221" spans="1:3" ht="24.95" customHeight="1" x14ac:dyDescent="0.2">
      <c r="A221" s="247" t="str">
        <f>IF(MCH,"Yes","No")</f>
        <v>Yes</v>
      </c>
      <c r="B221" s="255" t="str">
        <f>Reviews!I22</f>
        <v>DCS.Bldg.Mechanical</v>
      </c>
      <c r="C221" s="255"/>
    </row>
    <row r="222" spans="1:3" ht="24.95" customHeight="1" x14ac:dyDescent="0.2">
      <c r="A222" s="247" t="str">
        <f>IF(PLB,"Yes","No")</f>
        <v>Yes</v>
      </c>
      <c r="B222" s="255" t="str">
        <f>Reviews!I23</f>
        <v>DCS.Bldg.Plumbing</v>
      </c>
      <c r="C222" s="255"/>
    </row>
    <row r="223" spans="1:3" ht="24.95" customHeight="1" x14ac:dyDescent="0.2">
      <c r="A223" s="247" t="str">
        <f>IF($C$17="Alteration","Yes","No")</f>
        <v>No</v>
      </c>
      <c r="B223" s="255" t="str">
        <f>Reviews!I25</f>
        <v>DCS.Bldg.Rapid</v>
      </c>
      <c r="C223" s="255"/>
    </row>
    <row r="224" spans="1:3" ht="24.95" customHeight="1" x14ac:dyDescent="0.2">
      <c r="A224" s="247" t="str">
        <f>IF(OR($C$17="New",$C$17="Addition"),"Yes","No")</f>
        <v>No</v>
      </c>
      <c r="B224" s="255" t="str">
        <f>Reviews!I26</f>
        <v>DCS.Bldg.Structural</v>
      </c>
      <c r="C224" s="255"/>
    </row>
    <row r="225" spans="1:3" ht="24.95" customHeight="1" x14ac:dyDescent="0.2">
      <c r="A225" s="247" t="s">
        <v>463</v>
      </c>
      <c r="B225" s="255" t="str">
        <f>Reviews!I27</f>
        <v>DCS.CE.Compliance</v>
      </c>
      <c r="C225" s="255"/>
    </row>
    <row r="226" spans="1:3" ht="24.95" customHeight="1" x14ac:dyDescent="0.2">
      <c r="A226" s="247" t="str">
        <f t="shared" ref="A226:A231" si="11">IF(OR($C$17="New",$C$17="Addition"),"Yes","No")</f>
        <v>No</v>
      </c>
      <c r="B226" s="255" t="str">
        <f>Reviews!I8</f>
        <v>District.CSD/CSA</v>
      </c>
      <c r="C226" s="255"/>
    </row>
    <row r="227" spans="1:3" ht="24.95" customHeight="1" x14ac:dyDescent="0.2">
      <c r="A227" s="247" t="str">
        <f t="shared" si="11"/>
        <v>No</v>
      </c>
      <c r="B227" s="255" t="str">
        <f>Reviews!I30</f>
        <v>DCS.EH.Land.Use</v>
      </c>
      <c r="C227" s="255"/>
    </row>
    <row r="228" spans="1:3" ht="24.95" customHeight="1" x14ac:dyDescent="0.2">
      <c r="A228" s="247" t="str">
        <f t="shared" si="11"/>
        <v>No</v>
      </c>
      <c r="B228" s="255" t="str">
        <f>Reviews!I7</f>
        <v>District.Fire</v>
      </c>
      <c r="C228" s="255"/>
    </row>
    <row r="229" spans="1:3" ht="24.95" customHeight="1" x14ac:dyDescent="0.2">
      <c r="A229" s="247" t="str">
        <f t="shared" si="11"/>
        <v>No</v>
      </c>
      <c r="B229" s="255" t="str">
        <f>Reviews!I32</f>
        <v>DCS.IWM.C&amp;D</v>
      </c>
      <c r="C229" s="255"/>
    </row>
    <row r="230" spans="1:3" ht="24.95" customHeight="1" x14ac:dyDescent="0.2">
      <c r="A230" s="247" t="str">
        <f t="shared" si="11"/>
        <v>No</v>
      </c>
      <c r="B230" s="255" t="str">
        <f>Reviews!I33</f>
        <v>DCS.Planning.</v>
      </c>
      <c r="C230" s="255"/>
    </row>
    <row r="231" spans="1:3" ht="24.95" customHeight="1" x14ac:dyDescent="0.2">
      <c r="A231" s="247" t="str">
        <f t="shared" si="11"/>
        <v>No</v>
      </c>
      <c r="B231" s="263" t="str">
        <f>Reviews!I34</f>
        <v>DCS.PW.</v>
      </c>
      <c r="C231" s="263"/>
    </row>
  </sheetData>
  <conditionalFormatting sqref="A2:A191">
    <cfRule type="cellIs" dxfId="134" priority="7" operator="equal">
      <formula>"Yes"</formula>
    </cfRule>
    <cfRule type="cellIs" dxfId="133" priority="8" operator="equal">
      <formula>"No"</formula>
    </cfRule>
  </conditionalFormatting>
  <conditionalFormatting sqref="A200:A227">
    <cfRule type="cellIs" dxfId="132" priority="3" operator="equal">
      <formula>"Yes"</formula>
    </cfRule>
    <cfRule type="cellIs" dxfId="131" priority="4" operator="equal">
      <formula>"No"</formula>
    </cfRule>
  </conditionalFormatting>
  <conditionalFormatting sqref="A192:A197">
    <cfRule type="cellIs" dxfId="130" priority="1" operator="equal">
      <formula>"Yes"</formula>
    </cfRule>
    <cfRule type="cellIs" dxfId="129" priority="2" operator="equal">
      <formula>"No"</formula>
    </cfRule>
  </conditionalFormatting>
  <dataValidations count="9">
    <dataValidation type="list" allowBlank="1" showInputMessage="1" showErrorMessage="1" sqref="C19:C22 C29:C32 C48:C52 C134 C136 C195:C197 C181:C183 C157:C164 C177:C178 C150:C155 C122:C131 C141:C146 C61 C92 C95 C98 C109:C110 C105 C107 C100:C103 C113:C118 C120 C185:C191" xr:uid="{88E61AAF-01AD-49FE-B9CD-B542276A0C7B}">
      <formula1>"Yes,No"</formula1>
    </dataValidation>
    <dataValidation type="list" allowBlank="1" showInputMessage="1" showErrorMessage="1" sqref="C75 C69" xr:uid="{E4E3E42A-0852-40CF-9D31-890D3560979E}">
      <formula1>"Habitable,Occupiable,Non-Occupiable,Not-Permitted"</formula1>
    </dataValidation>
    <dataValidation type="list" allowBlank="1" showInputMessage="1" showErrorMessage="1" sqref="C76 C70" xr:uid="{6A3B7E8F-0B95-4E12-AF45-9ED0ACED0448}">
      <formula1>"Total,Partial,Pool"</formula1>
    </dataValidation>
    <dataValidation type="list" allowBlank="1" showInputMessage="1" showErrorMessage="1" sqref="C13" xr:uid="{8B848EDC-70B4-4049-90A8-EEE0DF137E8F}">
      <formula1>"New,Addition,Alteration/Repair/Replacement"</formula1>
    </dataValidation>
    <dataValidation type="list" allowBlank="1" showInputMessage="1" showErrorMessage="1" sqref="C137 C139" xr:uid="{882982B7-C140-4139-BFA3-5E16B8F49969}">
      <formula1>"Composition Shingles,Other"</formula1>
    </dataValidation>
    <dataValidation type="decimal" operator="greaterThanOrEqual" allowBlank="1" showInputMessage="1" showErrorMessage="1" sqref="C15" xr:uid="{E21BE8B5-F8AA-44B0-BAF5-E82ACA1340CE}">
      <formula1>1</formula1>
    </dataValidation>
    <dataValidation type="whole" operator="greaterThanOrEqual" allowBlank="1" showInputMessage="1" showErrorMessage="1" sqref="C77:C79 C166:C176 C180 C81:C90 C96:C97 C99 C104 C108 C111 C121 C71:C73" xr:uid="{C72DDF82-A487-4E45-AC24-5F8642E11C55}">
      <formula1>0</formula1>
    </dataValidation>
    <dataValidation type="whole" allowBlank="1" showInputMessage="1" showErrorMessage="1" sqref="C135" xr:uid="{A3B278FF-026D-4E68-A242-7A1473594FC8}">
      <formula1>0</formula1>
      <formula2>100</formula2>
    </dataValidation>
    <dataValidation operator="greaterThan" allowBlank="1" showInputMessage="1" showErrorMessage="1" sqref="C179" xr:uid="{AE6A3543-13D3-4CA2-8361-FB7348ACC424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07" r:id="rId22" name="CheckBox1">
          <controlPr defaultSize="0" autoLine="0" linkedCell="C3" r:id="rId23">
            <anchor moveWithCells="1">
              <from>
                <xdr:col>0</xdr:col>
                <xdr:colOff>2170043</xdr:colOff>
                <xdr:row>2</xdr:row>
                <xdr:rowOff>45415</xdr:rowOff>
              </from>
              <to>
                <xdr:col>1</xdr:col>
                <xdr:colOff>2122372</xdr:colOff>
                <xdr:row>3</xdr:row>
                <xdr:rowOff>37560</xdr:rowOff>
              </to>
            </anchor>
          </controlPr>
        </control>
      </mc:Choice>
      <mc:Fallback>
        <control shapeId="4107" r:id="rId22" name="CheckBox1"/>
      </mc:Fallback>
    </mc:AlternateContent>
    <mc:AlternateContent xmlns:mc="http://schemas.openxmlformats.org/markup-compatibility/2006">
      <mc:Choice Requires="x14">
        <control shapeId="4108" r:id="rId20" name="Demo">
          <controlPr defaultSize="0" autoLine="0" linkedCell="C4" r:id="rId24">
            <anchor moveWithCells="1">
              <from>
                <xdr:col>0</xdr:col>
                <xdr:colOff>2170043</xdr:colOff>
                <xdr:row>3</xdr:row>
                <xdr:rowOff>37562</xdr:rowOff>
              </from>
              <to>
                <xdr:col>1</xdr:col>
                <xdr:colOff>2122372</xdr:colOff>
                <xdr:row>4</xdr:row>
                <xdr:rowOff>29708</xdr:rowOff>
              </to>
            </anchor>
          </controlPr>
        </control>
      </mc:Choice>
      <mc:Fallback>
        <control shapeId="4108" r:id="rId20" name="Demo"/>
      </mc:Fallback>
    </mc:AlternateContent>
    <mc:AlternateContent xmlns:mc="http://schemas.openxmlformats.org/markup-compatibility/2006">
      <mc:Choice Requires="x14">
        <control shapeId="4109" r:id="rId18" name="Grading">
          <controlPr defaultSize="0" autoLine="0" linkedCell="C5" r:id="rId25">
            <anchor moveWithCells="1">
              <from>
                <xdr:col>0</xdr:col>
                <xdr:colOff>2170043</xdr:colOff>
                <xdr:row>4</xdr:row>
                <xdr:rowOff>29708</xdr:rowOff>
              </from>
              <to>
                <xdr:col>1</xdr:col>
                <xdr:colOff>2122372</xdr:colOff>
                <xdr:row>5</xdr:row>
                <xdr:rowOff>21853</xdr:rowOff>
              </to>
            </anchor>
          </controlPr>
        </control>
      </mc:Choice>
      <mc:Fallback>
        <control shapeId="4109" r:id="rId18" name="Grading"/>
      </mc:Fallback>
    </mc:AlternateContent>
    <mc:AlternateContent xmlns:mc="http://schemas.openxmlformats.org/markup-compatibility/2006">
      <mc:Choice Requires="x14">
        <control shapeId="4110" r:id="rId16" name="Pool">
          <controlPr defaultSize="0" autoLine="0" linkedCell="C6" r:id="rId26">
            <anchor moveWithCells="1">
              <from>
                <xdr:col>0</xdr:col>
                <xdr:colOff>2170043</xdr:colOff>
                <xdr:row>5</xdr:row>
                <xdr:rowOff>21854</xdr:rowOff>
              </from>
              <to>
                <xdr:col>1</xdr:col>
                <xdr:colOff>2122372</xdr:colOff>
                <xdr:row>6</xdr:row>
                <xdr:rowOff>13999</xdr:rowOff>
              </to>
            </anchor>
          </controlPr>
        </control>
      </mc:Choice>
      <mc:Fallback>
        <control shapeId="4110" r:id="rId16" name="Pool"/>
      </mc:Fallback>
    </mc:AlternateContent>
    <mc:AlternateContent xmlns:mc="http://schemas.openxmlformats.org/markup-compatibility/2006">
      <mc:Choice Requires="x14">
        <control shapeId="4111" r:id="rId14" name="Elc">
          <controlPr defaultSize="0" autoLine="0" linkedCell="C7" r:id="rId27">
            <anchor moveWithCells="1">
              <from>
                <xdr:col>0</xdr:col>
                <xdr:colOff>2170043</xdr:colOff>
                <xdr:row>6</xdr:row>
                <xdr:rowOff>13999</xdr:rowOff>
              </from>
              <to>
                <xdr:col>1</xdr:col>
                <xdr:colOff>2122372</xdr:colOff>
                <xdr:row>7</xdr:row>
                <xdr:rowOff>5737</xdr:rowOff>
              </to>
            </anchor>
          </controlPr>
        </control>
      </mc:Choice>
      <mc:Fallback>
        <control shapeId="4111" r:id="rId14" name="Elc"/>
      </mc:Fallback>
    </mc:AlternateContent>
    <mc:AlternateContent xmlns:mc="http://schemas.openxmlformats.org/markup-compatibility/2006">
      <mc:Choice Requires="x14">
        <control shapeId="4112" r:id="rId12" name="Mch">
          <controlPr defaultSize="0" autoLine="0" linkedCell="C8" r:id="rId28">
            <anchor moveWithCells="1">
              <from>
                <xdr:col>0</xdr:col>
                <xdr:colOff>2170043</xdr:colOff>
                <xdr:row>7</xdr:row>
                <xdr:rowOff>6144</xdr:rowOff>
              </from>
              <to>
                <xdr:col>1</xdr:col>
                <xdr:colOff>2122372</xdr:colOff>
                <xdr:row>7</xdr:row>
                <xdr:rowOff>315789</xdr:rowOff>
              </to>
            </anchor>
          </controlPr>
        </control>
      </mc:Choice>
      <mc:Fallback>
        <control shapeId="4112" r:id="rId12" name="Mch"/>
      </mc:Fallback>
    </mc:AlternateContent>
    <mc:AlternateContent xmlns:mc="http://schemas.openxmlformats.org/markup-compatibility/2006">
      <mc:Choice Requires="x14">
        <control shapeId="4113" r:id="rId10" name="Plb">
          <controlPr defaultSize="0" autoLine="0" linkedCell="C9" r:id="rId29">
            <anchor moveWithCells="1">
              <from>
                <xdr:col>0</xdr:col>
                <xdr:colOff>2170043</xdr:colOff>
                <xdr:row>7</xdr:row>
                <xdr:rowOff>315789</xdr:rowOff>
              </from>
              <to>
                <xdr:col>1</xdr:col>
                <xdr:colOff>2122372</xdr:colOff>
                <xdr:row>8</xdr:row>
                <xdr:rowOff>307934</xdr:rowOff>
              </to>
            </anchor>
          </controlPr>
        </control>
      </mc:Choice>
      <mc:Fallback>
        <control shapeId="4113" r:id="rId10" name="Plb"/>
      </mc:Fallback>
    </mc:AlternateContent>
    <mc:AlternateContent xmlns:mc="http://schemas.openxmlformats.org/markup-compatibility/2006">
      <mc:Choice Requires="x14">
        <control shapeId="4114" r:id="rId8" name="Dwelling">
          <controlPr defaultSize="0" autoLine="0" linkedCell="C10" r:id="rId30">
            <anchor moveWithCells="1">
              <from>
                <xdr:col>0</xdr:col>
                <xdr:colOff>2170043</xdr:colOff>
                <xdr:row>8</xdr:row>
                <xdr:rowOff>307934</xdr:rowOff>
              </from>
              <to>
                <xdr:col>1</xdr:col>
                <xdr:colOff>2122372</xdr:colOff>
                <xdr:row>9</xdr:row>
                <xdr:rowOff>300079</xdr:rowOff>
              </to>
            </anchor>
          </controlPr>
        </control>
      </mc:Choice>
      <mc:Fallback>
        <control shapeId="4114" r:id="rId8" name="Dwelling"/>
      </mc:Fallback>
    </mc:AlternateContent>
    <mc:AlternateContent xmlns:mc="http://schemas.openxmlformats.org/markup-compatibility/2006">
      <mc:Choice Requires="x14">
        <control shapeId="4115" r:id="rId6" name="Commercial">
          <controlPr defaultSize="0" autoLine="0" linkedCell="C11" r:id="rId31">
            <anchor moveWithCells="1">
              <from>
                <xdr:col>0</xdr:col>
                <xdr:colOff>2170043</xdr:colOff>
                <xdr:row>9</xdr:row>
                <xdr:rowOff>300080</xdr:rowOff>
              </from>
              <to>
                <xdr:col>1</xdr:col>
                <xdr:colOff>2122372</xdr:colOff>
                <xdr:row>10</xdr:row>
                <xdr:rowOff>292225</xdr:rowOff>
              </to>
            </anchor>
          </controlPr>
        </control>
      </mc:Choice>
      <mc:Fallback>
        <control shapeId="4115" r:id="rId6" name="Commercial"/>
      </mc:Fallback>
    </mc:AlternateContent>
    <mc:AlternateContent xmlns:mc="http://schemas.openxmlformats.org/markup-compatibility/2006">
      <mc:Choice Requires="x14">
        <control shapeId="4116" r:id="rId4" name="Accessory">
          <controlPr defaultSize="0" autoLine="0" linkedCell="C12" r:id="rId32">
            <anchor moveWithCells="1">
              <from>
                <xdr:col>0</xdr:col>
                <xdr:colOff>2170043</xdr:colOff>
                <xdr:row>10</xdr:row>
                <xdr:rowOff>292225</xdr:rowOff>
              </from>
              <to>
                <xdr:col>1</xdr:col>
                <xdr:colOff>2122372</xdr:colOff>
                <xdr:row>11</xdr:row>
                <xdr:rowOff>284370</xdr:rowOff>
              </to>
            </anchor>
          </controlPr>
        </control>
      </mc:Choice>
      <mc:Fallback>
        <control shapeId="4116" r:id="rId4" name="Accessor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33D07-88AC-BF4F-B5C2-0B9DCEB539BA}">
  <dimension ref="B2:E109"/>
  <sheetViews>
    <sheetView zoomScaleNormal="150" zoomScaleSheetLayoutView="100" workbookViewId="0">
      <selection activeCell="F80" sqref="F80"/>
    </sheetView>
  </sheetViews>
  <sheetFormatPr defaultRowHeight="15" x14ac:dyDescent="0.2"/>
  <cols>
    <col min="1" max="1" width="8.609375" style="389"/>
    <col min="2" max="2" width="14.125" style="389" customWidth="1"/>
    <col min="3" max="3" width="34.70703125" style="389" customWidth="1"/>
    <col min="4" max="4" width="15.46875" style="389" customWidth="1"/>
    <col min="5" max="5" width="10.89453125" style="389" bestFit="1" customWidth="1"/>
    <col min="6" max="16384" width="8.609375" style="389"/>
  </cols>
  <sheetData>
    <row r="2" spans="2:5" x14ac:dyDescent="0.2">
      <c r="B2" s="390" t="s">
        <v>99</v>
      </c>
      <c r="C2" s="390" t="s">
        <v>822</v>
      </c>
      <c r="D2" s="390" t="s">
        <v>765</v>
      </c>
      <c r="E2" s="390" t="s">
        <v>823</v>
      </c>
    </row>
    <row r="3" spans="2:5" x14ac:dyDescent="0.2">
      <c r="B3" s="391" t="str">
        <f>'Permit &amp; App'!B9</f>
        <v>Accessory</v>
      </c>
      <c r="C3" s="390"/>
      <c r="D3" s="390"/>
      <c r="E3" s="390"/>
    </row>
    <row r="4" spans="2:5" x14ac:dyDescent="0.2">
      <c r="B4" s="391" t="str">
        <f>'Permit &amp; App'!B10</f>
        <v>Commercial</v>
      </c>
      <c r="C4" s="390"/>
      <c r="D4" s="390"/>
      <c r="E4" s="390"/>
    </row>
    <row r="5" spans="2:5" x14ac:dyDescent="0.2">
      <c r="B5" s="391" t="str">
        <f>'Permit &amp; App'!B11</f>
        <v>Demolition</v>
      </c>
      <c r="C5" s="390"/>
      <c r="D5" s="390"/>
      <c r="E5" s="390"/>
    </row>
    <row r="6" spans="2:5" x14ac:dyDescent="0.2">
      <c r="B6" s="391" t="str">
        <f>'Permit &amp; App'!B12</f>
        <v>Dwellings</v>
      </c>
      <c r="C6" s="390"/>
      <c r="D6" s="390"/>
      <c r="E6" s="390"/>
    </row>
    <row r="7" spans="2:5" x14ac:dyDescent="0.2">
      <c r="B7" s="391" t="str">
        <f>'Permit &amp; App'!B13</f>
        <v>Electrical</v>
      </c>
      <c r="C7" s="390"/>
      <c r="D7" s="390"/>
      <c r="E7" s="390"/>
    </row>
    <row r="8" spans="2:5" x14ac:dyDescent="0.2">
      <c r="B8" s="391" t="str">
        <f>'Permit &amp; App'!B14</f>
        <v>Fire</v>
      </c>
      <c r="C8" s="390"/>
      <c r="D8" s="390"/>
      <c r="E8" s="390"/>
    </row>
    <row r="9" spans="2:5" x14ac:dyDescent="0.2">
      <c r="B9" s="391" t="str">
        <f>'Permit &amp; App'!B15</f>
        <v>Flood</v>
      </c>
      <c r="C9" s="390"/>
      <c r="D9" s="390"/>
      <c r="E9" s="390"/>
    </row>
    <row r="10" spans="2:5" x14ac:dyDescent="0.2">
      <c r="B10" s="391" t="str">
        <f>'Permit &amp; App'!B16</f>
        <v>Grading</v>
      </c>
      <c r="C10" s="390"/>
      <c r="D10" s="390"/>
      <c r="E10" s="390"/>
    </row>
    <row r="11" spans="2:5" x14ac:dyDescent="0.2">
      <c r="B11" s="391" t="str">
        <f>'Permit &amp; App'!B17</f>
        <v>Mechanical</v>
      </c>
      <c r="C11" s="390"/>
      <c r="D11" s="390"/>
      <c r="E11" s="390"/>
    </row>
    <row r="12" spans="2:5" x14ac:dyDescent="0.2">
      <c r="B12" s="391" t="str">
        <f>'Permit &amp; App'!B18</f>
        <v>Plumbing</v>
      </c>
      <c r="C12" s="390"/>
      <c r="D12" s="390"/>
      <c r="E12" s="390"/>
    </row>
    <row r="13" spans="2:5" x14ac:dyDescent="0.2">
      <c r="B13" s="391" t="str">
        <f>'Permit &amp; App'!B19</f>
        <v>Pool/Spa</v>
      </c>
      <c r="C13" s="390"/>
      <c r="D13" s="390"/>
      <c r="E13" s="390"/>
    </row>
    <row r="15" spans="2:5" x14ac:dyDescent="0.2">
      <c r="B15" s="390" t="s">
        <v>99</v>
      </c>
      <c r="C15" s="390" t="s">
        <v>822</v>
      </c>
      <c r="D15" s="390" t="s">
        <v>765</v>
      </c>
      <c r="E15" s="390" t="s">
        <v>823</v>
      </c>
    </row>
    <row r="16" spans="2:5" x14ac:dyDescent="0.2">
      <c r="B16" s="391" t="s">
        <v>23</v>
      </c>
      <c r="C16" s="390" t="s">
        <v>795</v>
      </c>
      <c r="D16" s="390"/>
      <c r="E16" s="390"/>
    </row>
    <row r="17" spans="2:5" x14ac:dyDescent="0.2">
      <c r="B17" s="391" t="s">
        <v>23</v>
      </c>
      <c r="C17" s="390" t="s">
        <v>796</v>
      </c>
      <c r="D17" s="390"/>
      <c r="E17" s="390"/>
    </row>
    <row r="18" spans="2:5" x14ac:dyDescent="0.2">
      <c r="B18" s="391" t="s">
        <v>23</v>
      </c>
      <c r="C18" s="390" t="s">
        <v>467</v>
      </c>
      <c r="D18" s="390"/>
      <c r="E18" s="390"/>
    </row>
    <row r="19" spans="2:5" x14ac:dyDescent="0.2">
      <c r="B19" s="391" t="s">
        <v>23</v>
      </c>
      <c r="C19" s="390" t="s">
        <v>795</v>
      </c>
      <c r="D19" s="390"/>
      <c r="E19" s="390"/>
    </row>
    <row r="20" spans="2:5" x14ac:dyDescent="0.2">
      <c r="B20" s="390" t="s">
        <v>23</v>
      </c>
      <c r="C20" s="390" t="s">
        <v>797</v>
      </c>
      <c r="D20" s="390"/>
      <c r="E20" s="390"/>
    </row>
    <row r="21" spans="2:5" x14ac:dyDescent="0.2">
      <c r="B21" s="390" t="s">
        <v>23</v>
      </c>
      <c r="C21" s="390" t="s">
        <v>798</v>
      </c>
      <c r="D21" s="390"/>
      <c r="E21" s="390"/>
    </row>
    <row r="22" spans="2:5" x14ac:dyDescent="0.2">
      <c r="B22" s="390" t="s">
        <v>23</v>
      </c>
      <c r="C22" s="390" t="s">
        <v>799</v>
      </c>
      <c r="D22" s="390"/>
      <c r="E22" s="390"/>
    </row>
    <row r="23" spans="2:5" x14ac:dyDescent="0.2">
      <c r="B23" s="390" t="s">
        <v>23</v>
      </c>
      <c r="C23" s="390" t="s">
        <v>800</v>
      </c>
      <c r="D23" s="390"/>
      <c r="E23" s="390"/>
    </row>
    <row r="24" spans="2:5" x14ac:dyDescent="0.2">
      <c r="B24" s="390" t="s">
        <v>23</v>
      </c>
      <c r="C24" s="390" t="s">
        <v>801</v>
      </c>
      <c r="D24" s="390"/>
      <c r="E24" s="390"/>
    </row>
    <row r="25" spans="2:5" x14ac:dyDescent="0.2">
      <c r="B25" s="390" t="s">
        <v>23</v>
      </c>
      <c r="C25" s="390" t="s">
        <v>802</v>
      </c>
      <c r="D25" s="390"/>
      <c r="E25" s="390"/>
    </row>
    <row r="26" spans="2:5" x14ac:dyDescent="0.2">
      <c r="B26" s="390" t="s">
        <v>23</v>
      </c>
      <c r="C26" s="390" t="s">
        <v>43</v>
      </c>
      <c r="D26" s="390" t="s">
        <v>803</v>
      </c>
      <c r="E26" s="390"/>
    </row>
    <row r="28" spans="2:5" x14ac:dyDescent="0.2">
      <c r="B28" s="390" t="s">
        <v>99</v>
      </c>
      <c r="C28" s="390" t="s">
        <v>822</v>
      </c>
      <c r="D28" s="390" t="s">
        <v>765</v>
      </c>
      <c r="E28" s="390" t="s">
        <v>823</v>
      </c>
    </row>
    <row r="29" spans="2:5" x14ac:dyDescent="0.2">
      <c r="B29" s="390" t="s">
        <v>25</v>
      </c>
      <c r="C29" s="390" t="s">
        <v>814</v>
      </c>
      <c r="D29" s="390"/>
      <c r="E29" s="390"/>
    </row>
    <row r="30" spans="2:5" x14ac:dyDescent="0.2">
      <c r="B30" s="390" t="s">
        <v>25</v>
      </c>
      <c r="C30" s="390" t="s">
        <v>815</v>
      </c>
      <c r="D30" s="390"/>
      <c r="E30" s="390"/>
    </row>
    <row r="31" spans="2:5" x14ac:dyDescent="0.2">
      <c r="B31" s="390" t="s">
        <v>25</v>
      </c>
      <c r="C31" s="390" t="s">
        <v>816</v>
      </c>
      <c r="D31" s="390"/>
      <c r="E31" s="390"/>
    </row>
    <row r="32" spans="2:5" x14ac:dyDescent="0.2">
      <c r="B32" s="390" t="s">
        <v>25</v>
      </c>
      <c r="C32" s="390" t="s">
        <v>819</v>
      </c>
      <c r="D32" s="390"/>
      <c r="E32" s="390"/>
    </row>
    <row r="33" spans="2:5" x14ac:dyDescent="0.2">
      <c r="B33" s="390" t="s">
        <v>25</v>
      </c>
      <c r="C33" s="390" t="s">
        <v>817</v>
      </c>
      <c r="D33" s="390"/>
      <c r="E33" s="390"/>
    </row>
    <row r="34" spans="2:5" x14ac:dyDescent="0.2">
      <c r="B34" s="390" t="s">
        <v>25</v>
      </c>
      <c r="C34" s="390" t="s">
        <v>818</v>
      </c>
      <c r="D34" s="390"/>
      <c r="E34" s="390"/>
    </row>
    <row r="35" spans="2:5" x14ac:dyDescent="0.2">
      <c r="B35" s="390" t="s">
        <v>25</v>
      </c>
      <c r="C35" s="390" t="s">
        <v>820</v>
      </c>
      <c r="D35" s="390" t="s">
        <v>821</v>
      </c>
      <c r="E35" s="390"/>
    </row>
    <row r="37" spans="2:5" x14ac:dyDescent="0.2">
      <c r="B37" s="390" t="s">
        <v>99</v>
      </c>
      <c r="C37" s="390" t="s">
        <v>822</v>
      </c>
      <c r="D37" s="390" t="s">
        <v>765</v>
      </c>
      <c r="E37" s="390" t="s">
        <v>823</v>
      </c>
    </row>
    <row r="38" spans="2:5" x14ac:dyDescent="0.2">
      <c r="B38" s="390" t="s">
        <v>27</v>
      </c>
      <c r="C38" s="390" t="s">
        <v>804</v>
      </c>
      <c r="D38" s="390"/>
      <c r="E38" s="390"/>
    </row>
    <row r="39" spans="2:5" x14ac:dyDescent="0.2">
      <c r="B39" s="390" t="s">
        <v>27</v>
      </c>
      <c r="C39" s="390" t="s">
        <v>438</v>
      </c>
      <c r="D39" s="390"/>
      <c r="E39" s="390"/>
    </row>
    <row r="40" spans="2:5" x14ac:dyDescent="0.2">
      <c r="B40" s="390" t="s">
        <v>27</v>
      </c>
      <c r="C40" s="390" t="s">
        <v>805</v>
      </c>
      <c r="D40" s="390"/>
      <c r="E40" s="390"/>
    </row>
    <row r="41" spans="2:5" x14ac:dyDescent="0.2">
      <c r="B41" s="390" t="s">
        <v>27</v>
      </c>
      <c r="C41" s="390" t="s">
        <v>43</v>
      </c>
      <c r="D41" s="390"/>
      <c r="E41" s="390"/>
    </row>
    <row r="42" spans="2:5" x14ac:dyDescent="0.2">
      <c r="B42" s="390" t="s">
        <v>27</v>
      </c>
      <c r="C42" s="390" t="s">
        <v>806</v>
      </c>
      <c r="D42" s="390"/>
      <c r="E42" s="390"/>
    </row>
    <row r="44" spans="2:5" x14ac:dyDescent="0.2">
      <c r="B44" s="390" t="s">
        <v>99</v>
      </c>
      <c r="C44" s="390" t="s">
        <v>822</v>
      </c>
      <c r="D44" s="390" t="s">
        <v>765</v>
      </c>
      <c r="E44" s="390" t="s">
        <v>823</v>
      </c>
    </row>
    <row r="45" spans="2:5" x14ac:dyDescent="0.2">
      <c r="B45" s="390" t="s">
        <v>99</v>
      </c>
      <c r="C45" s="390" t="s">
        <v>822</v>
      </c>
      <c r="D45" s="390"/>
      <c r="E45" s="390"/>
    </row>
    <row r="46" spans="2:5" x14ac:dyDescent="0.2">
      <c r="B46" s="390" t="s">
        <v>807</v>
      </c>
      <c r="C46" s="390" t="s">
        <v>433</v>
      </c>
      <c r="D46" s="390"/>
      <c r="E46" s="390"/>
    </row>
    <row r="47" spans="2:5" x14ac:dyDescent="0.2">
      <c r="B47" s="390" t="s">
        <v>807</v>
      </c>
      <c r="C47" s="390" t="s">
        <v>808</v>
      </c>
      <c r="D47" s="390"/>
      <c r="E47" s="390"/>
    </row>
    <row r="48" spans="2:5" x14ac:dyDescent="0.2">
      <c r="B48" s="390" t="s">
        <v>807</v>
      </c>
      <c r="C48" s="390" t="s">
        <v>810</v>
      </c>
      <c r="D48" s="390"/>
      <c r="E48" s="390"/>
    </row>
    <row r="49" spans="2:5" x14ac:dyDescent="0.2">
      <c r="B49" s="390" t="s">
        <v>807</v>
      </c>
      <c r="C49" s="390" t="s">
        <v>809</v>
      </c>
      <c r="D49" s="390"/>
      <c r="E49" s="390"/>
    </row>
    <row r="50" spans="2:5" x14ac:dyDescent="0.2">
      <c r="B50" s="390" t="s">
        <v>807</v>
      </c>
      <c r="C50" s="390" t="s">
        <v>812</v>
      </c>
      <c r="D50" s="390"/>
      <c r="E50" s="390"/>
    </row>
    <row r="51" spans="2:5" x14ac:dyDescent="0.2">
      <c r="B51" s="390" t="s">
        <v>807</v>
      </c>
      <c r="C51" s="390" t="s">
        <v>434</v>
      </c>
      <c r="D51" s="390"/>
      <c r="E51" s="390"/>
    </row>
    <row r="52" spans="2:5" x14ac:dyDescent="0.2">
      <c r="B52" s="390" t="s">
        <v>807</v>
      </c>
      <c r="C52" s="390" t="s">
        <v>813</v>
      </c>
      <c r="D52" s="390"/>
      <c r="E52" s="390"/>
    </row>
    <row r="53" spans="2:5" x14ac:dyDescent="0.2">
      <c r="B53" s="390" t="s">
        <v>807</v>
      </c>
      <c r="C53" s="390" t="s">
        <v>811</v>
      </c>
      <c r="D53" s="390"/>
      <c r="E53" s="390"/>
    </row>
    <row r="56" spans="2:5" x14ac:dyDescent="0.2">
      <c r="B56" s="390" t="s">
        <v>99</v>
      </c>
      <c r="C56" s="390" t="s">
        <v>822</v>
      </c>
      <c r="D56" s="390" t="s">
        <v>765</v>
      </c>
      <c r="E56" s="390" t="s">
        <v>823</v>
      </c>
    </row>
    <row r="57" spans="2:5" x14ac:dyDescent="0.2">
      <c r="B57" s="390" t="s">
        <v>826</v>
      </c>
      <c r="C57" s="390" t="s">
        <v>828</v>
      </c>
      <c r="D57" s="390"/>
      <c r="E57" s="390"/>
    </row>
    <row r="58" spans="2:5" x14ac:dyDescent="0.2">
      <c r="B58" s="390" t="s">
        <v>826</v>
      </c>
      <c r="C58" s="390" t="s">
        <v>827</v>
      </c>
      <c r="D58" s="390"/>
      <c r="E58" s="390"/>
    </row>
    <row r="59" spans="2:5" x14ac:dyDescent="0.2">
      <c r="B59" s="390" t="s">
        <v>826</v>
      </c>
      <c r="C59" s="390" t="s">
        <v>838</v>
      </c>
      <c r="D59" s="390"/>
      <c r="E59" s="390"/>
    </row>
    <row r="60" spans="2:5" x14ac:dyDescent="0.2">
      <c r="B60" s="390" t="s">
        <v>826</v>
      </c>
      <c r="C60" s="390" t="s">
        <v>831</v>
      </c>
      <c r="D60" s="390"/>
      <c r="E60" s="390"/>
    </row>
    <row r="61" spans="2:5" x14ac:dyDescent="0.2">
      <c r="B61" s="390" t="s">
        <v>826</v>
      </c>
      <c r="C61" s="390" t="s">
        <v>837</v>
      </c>
      <c r="D61" s="390"/>
      <c r="E61" s="390"/>
    </row>
    <row r="62" spans="2:5" x14ac:dyDescent="0.2">
      <c r="B62" s="390" t="s">
        <v>826</v>
      </c>
      <c r="C62" s="390" t="s">
        <v>832</v>
      </c>
      <c r="D62" s="390"/>
      <c r="E62" s="390"/>
    </row>
    <row r="63" spans="2:5" x14ac:dyDescent="0.2">
      <c r="B63" s="390" t="s">
        <v>826</v>
      </c>
      <c r="C63" s="390" t="s">
        <v>835</v>
      </c>
      <c r="D63" s="390"/>
      <c r="E63" s="390"/>
    </row>
    <row r="64" spans="2:5" x14ac:dyDescent="0.2">
      <c r="B64" s="390" t="s">
        <v>826</v>
      </c>
      <c r="C64" s="390" t="s">
        <v>836</v>
      </c>
      <c r="D64" s="390"/>
      <c r="E64" s="390"/>
    </row>
    <row r="65" spans="2:5" x14ac:dyDescent="0.2">
      <c r="B65" s="390" t="s">
        <v>826</v>
      </c>
      <c r="C65" s="390" t="s">
        <v>833</v>
      </c>
      <c r="D65" s="390"/>
      <c r="E65" s="390"/>
    </row>
    <row r="66" spans="2:5" x14ac:dyDescent="0.2">
      <c r="B66" s="390" t="s">
        <v>826</v>
      </c>
      <c r="C66" s="390" t="s">
        <v>834</v>
      </c>
      <c r="D66" s="390"/>
      <c r="E66" s="390"/>
    </row>
    <row r="67" spans="2:5" x14ac:dyDescent="0.2">
      <c r="B67" s="390" t="s">
        <v>826</v>
      </c>
      <c r="C67" s="390" t="s">
        <v>829</v>
      </c>
      <c r="D67" s="390"/>
      <c r="E67" s="390"/>
    </row>
    <row r="68" spans="2:5" x14ac:dyDescent="0.2">
      <c r="B68" s="390" t="s">
        <v>826</v>
      </c>
      <c r="C68" s="390" t="s">
        <v>830</v>
      </c>
      <c r="D68" s="390"/>
      <c r="E68" s="390"/>
    </row>
    <row r="71" spans="2:5" x14ac:dyDescent="0.2">
      <c r="B71" s="390" t="s">
        <v>765</v>
      </c>
      <c r="C71" s="390" t="s">
        <v>823</v>
      </c>
      <c r="D71" s="390" t="s">
        <v>824</v>
      </c>
      <c r="E71" s="390" t="s">
        <v>825</v>
      </c>
    </row>
    <row r="72" spans="2:5" x14ac:dyDescent="0.2">
      <c r="B72" s="390" t="s">
        <v>33</v>
      </c>
      <c r="C72" s="390"/>
      <c r="D72" s="390"/>
      <c r="E72" s="390"/>
    </row>
    <row r="73" spans="2:5" x14ac:dyDescent="0.2">
      <c r="B73" s="390" t="s">
        <v>33</v>
      </c>
      <c r="C73" s="390"/>
      <c r="D73" s="390"/>
      <c r="E73" s="390"/>
    </row>
    <row r="74" spans="2:5" x14ac:dyDescent="0.2">
      <c r="B74" s="390" t="s">
        <v>33</v>
      </c>
      <c r="C74" s="390"/>
      <c r="D74" s="390"/>
      <c r="E74" s="390"/>
    </row>
    <row r="75" spans="2:5" x14ac:dyDescent="0.2">
      <c r="B75" s="390" t="s">
        <v>33</v>
      </c>
      <c r="C75" s="390"/>
      <c r="D75" s="390"/>
      <c r="E75" s="390"/>
    </row>
    <row r="76" spans="2:5" x14ac:dyDescent="0.2">
      <c r="B76" s="390" t="s">
        <v>33</v>
      </c>
      <c r="C76" s="390"/>
      <c r="D76" s="390"/>
      <c r="E76" s="390"/>
    </row>
    <row r="78" spans="2:5" x14ac:dyDescent="0.2">
      <c r="B78" s="390" t="s">
        <v>765</v>
      </c>
      <c r="C78" s="390" t="s">
        <v>823</v>
      </c>
      <c r="D78" s="390" t="s">
        <v>824</v>
      </c>
      <c r="E78" s="390" t="s">
        <v>825</v>
      </c>
    </row>
    <row r="79" spans="2:5" x14ac:dyDescent="0.2">
      <c r="B79" s="390" t="s">
        <v>35</v>
      </c>
      <c r="C79" s="390"/>
      <c r="D79" s="390"/>
      <c r="E79" s="390"/>
    </row>
    <row r="80" spans="2:5" x14ac:dyDescent="0.2">
      <c r="B80" s="390" t="s">
        <v>35</v>
      </c>
      <c r="C80" s="390"/>
      <c r="D80" s="390"/>
      <c r="E80" s="390"/>
    </row>
    <row r="81" spans="2:5" x14ac:dyDescent="0.2">
      <c r="B81" s="390" t="s">
        <v>35</v>
      </c>
      <c r="C81" s="390"/>
      <c r="D81" s="390"/>
      <c r="E81" s="390"/>
    </row>
    <row r="82" spans="2:5" x14ac:dyDescent="0.2">
      <c r="B82" s="390" t="s">
        <v>35</v>
      </c>
      <c r="C82" s="390"/>
      <c r="D82" s="390"/>
      <c r="E82" s="390"/>
    </row>
    <row r="83" spans="2:5" x14ac:dyDescent="0.2">
      <c r="B83" s="390" t="s">
        <v>35</v>
      </c>
      <c r="C83" s="390"/>
      <c r="D83" s="390"/>
      <c r="E83" s="390"/>
    </row>
    <row r="85" spans="2:5" x14ac:dyDescent="0.2">
      <c r="B85" s="390" t="s">
        <v>765</v>
      </c>
      <c r="C85" s="390" t="s">
        <v>823</v>
      </c>
      <c r="D85" s="390" t="s">
        <v>824</v>
      </c>
      <c r="E85" s="390" t="s">
        <v>825</v>
      </c>
    </row>
    <row r="86" spans="2:5" x14ac:dyDescent="0.2">
      <c r="B86" s="390" t="s">
        <v>37</v>
      </c>
      <c r="C86" s="390" t="s">
        <v>839</v>
      </c>
      <c r="D86" s="390"/>
      <c r="E86" s="390"/>
    </row>
    <row r="87" spans="2:5" x14ac:dyDescent="0.2">
      <c r="B87" s="390" t="s">
        <v>37</v>
      </c>
      <c r="C87" s="390" t="s">
        <v>840</v>
      </c>
      <c r="D87" s="390"/>
      <c r="E87" s="390"/>
    </row>
    <row r="90" spans="2:5" x14ac:dyDescent="0.2">
      <c r="B90" s="390" t="s">
        <v>765</v>
      </c>
      <c r="C90" s="390" t="s">
        <v>823</v>
      </c>
      <c r="D90" s="390" t="s">
        <v>824</v>
      </c>
      <c r="E90" s="390" t="s">
        <v>825</v>
      </c>
    </row>
    <row r="91" spans="2:5" x14ac:dyDescent="0.2">
      <c r="B91" s="390" t="s">
        <v>39</v>
      </c>
      <c r="C91" s="390"/>
      <c r="D91" s="390"/>
      <c r="E91" s="390"/>
    </row>
    <row r="92" spans="2:5" x14ac:dyDescent="0.2">
      <c r="B92" s="390" t="s">
        <v>39</v>
      </c>
      <c r="C92" s="390"/>
      <c r="D92" s="390"/>
      <c r="E92" s="390"/>
    </row>
    <row r="93" spans="2:5" x14ac:dyDescent="0.2">
      <c r="B93" s="390" t="s">
        <v>39</v>
      </c>
      <c r="C93" s="390"/>
      <c r="D93" s="390"/>
      <c r="E93" s="390"/>
    </row>
    <row r="94" spans="2:5" x14ac:dyDescent="0.2">
      <c r="B94" s="390" t="s">
        <v>39</v>
      </c>
      <c r="C94" s="390"/>
      <c r="D94" s="390"/>
      <c r="E94" s="390"/>
    </row>
    <row r="95" spans="2:5" x14ac:dyDescent="0.2">
      <c r="B95" s="390" t="s">
        <v>39</v>
      </c>
      <c r="C95" s="390"/>
      <c r="D95" s="390"/>
      <c r="E95" s="390"/>
    </row>
    <row r="97" spans="2:5" x14ac:dyDescent="0.2">
      <c r="B97" s="390" t="s">
        <v>765</v>
      </c>
      <c r="C97" s="390" t="s">
        <v>823</v>
      </c>
      <c r="D97" s="390" t="s">
        <v>824</v>
      </c>
      <c r="E97" s="390" t="s">
        <v>825</v>
      </c>
    </row>
    <row r="98" spans="2:5" x14ac:dyDescent="0.2">
      <c r="B98" s="390" t="s">
        <v>41</v>
      </c>
      <c r="C98" s="390"/>
      <c r="D98" s="390"/>
      <c r="E98" s="390"/>
    </row>
    <row r="99" spans="2:5" x14ac:dyDescent="0.2">
      <c r="B99" s="390" t="s">
        <v>41</v>
      </c>
      <c r="C99" s="390"/>
      <c r="D99" s="390"/>
      <c r="E99" s="390"/>
    </row>
    <row r="100" spans="2:5" x14ac:dyDescent="0.2">
      <c r="B100" s="390" t="s">
        <v>41</v>
      </c>
      <c r="C100" s="390"/>
      <c r="D100" s="390"/>
      <c r="E100" s="390"/>
    </row>
    <row r="101" spans="2:5" x14ac:dyDescent="0.2">
      <c r="B101" s="390" t="s">
        <v>41</v>
      </c>
      <c r="C101" s="390"/>
      <c r="D101" s="390"/>
      <c r="E101" s="390"/>
    </row>
    <row r="102" spans="2:5" x14ac:dyDescent="0.2">
      <c r="B102" s="390" t="s">
        <v>41</v>
      </c>
      <c r="C102" s="390"/>
      <c r="D102" s="390"/>
      <c r="E102" s="390"/>
    </row>
    <row r="104" spans="2:5" x14ac:dyDescent="0.2">
      <c r="B104" s="390" t="s">
        <v>765</v>
      </c>
      <c r="C104" s="390" t="s">
        <v>823</v>
      </c>
      <c r="D104" s="390" t="s">
        <v>824</v>
      </c>
      <c r="E104" s="390" t="s">
        <v>825</v>
      </c>
    </row>
    <row r="105" spans="2:5" x14ac:dyDescent="0.2">
      <c r="B105" s="390" t="s">
        <v>43</v>
      </c>
      <c r="C105" s="390"/>
      <c r="D105" s="390"/>
      <c r="E105" s="390"/>
    </row>
    <row r="106" spans="2:5" x14ac:dyDescent="0.2">
      <c r="B106" s="390" t="s">
        <v>43</v>
      </c>
      <c r="C106" s="390"/>
      <c r="D106" s="390"/>
      <c r="E106" s="390"/>
    </row>
    <row r="107" spans="2:5" x14ac:dyDescent="0.2">
      <c r="B107" s="390" t="s">
        <v>43</v>
      </c>
      <c r="C107" s="390"/>
      <c r="D107" s="390"/>
      <c r="E107" s="390"/>
    </row>
    <row r="108" spans="2:5" x14ac:dyDescent="0.2">
      <c r="B108" s="390" t="s">
        <v>43</v>
      </c>
      <c r="C108" s="390"/>
      <c r="D108" s="390"/>
      <c r="E108" s="390"/>
    </row>
    <row r="109" spans="2:5" x14ac:dyDescent="0.2">
      <c r="B109" s="390" t="s">
        <v>43</v>
      </c>
      <c r="C109" s="390"/>
      <c r="D109" s="390"/>
      <c r="E109" s="390"/>
    </row>
  </sheetData>
  <phoneticPr fontId="16" alignment="center"/>
  <pageMargins left="0.7" right="0.7" top="0.75" bottom="0.75" header="0.3" footer="0.3"/>
  <tableParts count="1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312EE-0604-B948-B059-CA5AD846AEB0}">
  <sheetPr codeName="Sheet5"/>
  <dimension ref="A1:Q79"/>
  <sheetViews>
    <sheetView showGridLines="0" zoomScaleNormal="100" zoomScaleSheetLayoutView="100" workbookViewId="0">
      <selection activeCell="I4" sqref="I4"/>
    </sheetView>
  </sheetViews>
  <sheetFormatPr defaultRowHeight="15" x14ac:dyDescent="0.2"/>
  <cols>
    <col min="1" max="1" width="8.609375" style="1"/>
    <col min="2" max="2" width="31.87890625" customWidth="1"/>
    <col min="3" max="3" width="11.43359375" style="48" customWidth="1"/>
    <col min="4" max="4" width="4.70703125" customWidth="1"/>
    <col min="5" max="5" width="15.87109375" style="2" customWidth="1"/>
    <col min="6" max="6" width="15.33203125" style="2" customWidth="1"/>
    <col min="7" max="7" width="15.33203125" customWidth="1"/>
    <col min="8" max="8" width="15.33203125" style="211" customWidth="1"/>
    <col min="9" max="9" width="15.33203125" style="3" customWidth="1"/>
    <col min="10" max="10" width="3.09375" customWidth="1"/>
    <col min="11" max="11" width="15.87109375" style="2" customWidth="1"/>
    <col min="12" max="12" width="15.33203125" style="2" customWidth="1"/>
    <col min="13" max="13" width="15.33203125" customWidth="1"/>
    <col min="14" max="15" width="15.33203125" style="3" customWidth="1"/>
    <col min="16" max="16" width="2.95703125" customWidth="1"/>
    <col min="17" max="17" width="70.890625" customWidth="1"/>
  </cols>
  <sheetData>
    <row r="1" spans="1:17" ht="67.5" customHeight="1" x14ac:dyDescent="0.2">
      <c r="A1" s="6" t="s">
        <v>546</v>
      </c>
      <c r="B1" s="4" t="s">
        <v>92</v>
      </c>
      <c r="C1" s="49" t="s">
        <v>547</v>
      </c>
      <c r="D1" s="69"/>
      <c r="E1" s="87" t="s">
        <v>548</v>
      </c>
      <c r="F1" s="21" t="s">
        <v>549</v>
      </c>
      <c r="G1" s="21" t="s">
        <v>550</v>
      </c>
      <c r="H1" s="207" t="s">
        <v>551</v>
      </c>
      <c r="I1" s="21" t="s">
        <v>552</v>
      </c>
      <c r="J1" s="69"/>
      <c r="K1" s="86" t="s">
        <v>548</v>
      </c>
      <c r="L1" s="21" t="s">
        <v>549</v>
      </c>
      <c r="M1" s="21" t="s">
        <v>550</v>
      </c>
      <c r="N1" s="21" t="s">
        <v>551</v>
      </c>
      <c r="O1" s="21" t="s">
        <v>552</v>
      </c>
      <c r="P1" s="70"/>
    </row>
    <row r="2" spans="1:17" x14ac:dyDescent="0.2">
      <c r="A2" s="1">
        <v>1</v>
      </c>
      <c r="B2" s="50" t="s">
        <v>553</v>
      </c>
      <c r="C2" s="51"/>
      <c r="D2" s="70"/>
      <c r="E2" s="82" t="s">
        <v>554</v>
      </c>
      <c r="F2" s="83">
        <v>15</v>
      </c>
      <c r="G2" s="83">
        <v>1</v>
      </c>
      <c r="H2" s="208">
        <v>0</v>
      </c>
      <c r="I2" s="184">
        <f>149*(F2/60+0.4*G2+0.7*H2)</f>
        <v>96.850000000000009</v>
      </c>
      <c r="J2" s="70"/>
      <c r="K2" s="187" t="s">
        <v>555</v>
      </c>
      <c r="L2" s="188">
        <f>F2</f>
        <v>15</v>
      </c>
      <c r="M2" s="188">
        <f>G2</f>
        <v>1</v>
      </c>
      <c r="N2" s="189">
        <f>M2*0.1</f>
        <v>0.1</v>
      </c>
      <c r="O2" s="190">
        <f>149*(L2/60+0.4*M2+0.7*N2)</f>
        <v>107.28</v>
      </c>
      <c r="P2" s="70"/>
    </row>
    <row r="3" spans="1:17" x14ac:dyDescent="0.2">
      <c r="A3" s="1">
        <f>A2+1</f>
        <v>2</v>
      </c>
      <c r="B3" s="52" t="s">
        <v>556</v>
      </c>
      <c r="C3" s="53"/>
      <c r="D3" s="70"/>
      <c r="E3" s="195"/>
      <c r="F3" s="196"/>
      <c r="G3" s="196"/>
      <c r="H3" s="197"/>
      <c r="I3" s="198"/>
      <c r="J3" s="84"/>
      <c r="K3" s="195"/>
      <c r="L3" s="196"/>
      <c r="M3" s="196"/>
      <c r="N3" s="197"/>
      <c r="O3" s="198"/>
      <c r="P3" s="85"/>
    </row>
    <row r="4" spans="1:17" x14ac:dyDescent="0.2">
      <c r="A4" s="1">
        <f t="shared" ref="A4:A67" si="0">A3+1</f>
        <v>3</v>
      </c>
      <c r="B4" s="52" t="s">
        <v>557</v>
      </c>
      <c r="C4" s="53"/>
      <c r="D4" s="71"/>
      <c r="E4" s="199"/>
      <c r="F4" s="193"/>
      <c r="G4" s="193"/>
      <c r="H4" s="193"/>
      <c r="I4" s="200"/>
      <c r="J4" s="186"/>
      <c r="K4" s="199"/>
      <c r="L4" s="193"/>
      <c r="M4" s="193"/>
      <c r="N4" s="193"/>
      <c r="O4" s="200"/>
      <c r="P4" s="85"/>
    </row>
    <row r="5" spans="1:17" x14ac:dyDescent="0.2">
      <c r="A5" s="1">
        <f t="shared" si="0"/>
        <v>4</v>
      </c>
      <c r="B5" s="52" t="s">
        <v>558</v>
      </c>
      <c r="C5" s="53"/>
      <c r="D5" s="70"/>
      <c r="E5" s="199"/>
      <c r="F5" s="193"/>
      <c r="G5" s="193"/>
      <c r="H5" s="193"/>
      <c r="I5" s="200"/>
      <c r="J5" s="84"/>
      <c r="K5" s="199"/>
      <c r="L5" s="193"/>
      <c r="M5" s="193"/>
      <c r="N5" s="193"/>
      <c r="O5" s="200"/>
      <c r="P5" s="85"/>
    </row>
    <row r="6" spans="1:17" x14ac:dyDescent="0.2">
      <c r="A6" s="1">
        <f t="shared" si="0"/>
        <v>5</v>
      </c>
      <c r="B6" s="52" t="s">
        <v>559</v>
      </c>
      <c r="C6" s="53"/>
      <c r="D6" s="70"/>
      <c r="E6" s="199"/>
      <c r="F6" s="193"/>
      <c r="G6" s="193"/>
      <c r="H6" s="193"/>
      <c r="I6" s="200"/>
      <c r="J6" s="84"/>
      <c r="K6" s="199"/>
      <c r="L6" s="193"/>
      <c r="M6" s="193"/>
      <c r="N6" s="193"/>
      <c r="O6" s="200"/>
      <c r="P6" s="85"/>
      <c r="Q6" s="88" t="s">
        <v>560</v>
      </c>
    </row>
    <row r="7" spans="1:17" x14ac:dyDescent="0.2">
      <c r="A7" s="1">
        <f t="shared" si="0"/>
        <v>6</v>
      </c>
      <c r="B7" s="52" t="s">
        <v>561</v>
      </c>
      <c r="C7" s="53"/>
      <c r="D7" s="70"/>
      <c r="E7" s="214"/>
      <c r="F7" s="215"/>
      <c r="G7" s="215"/>
      <c r="H7" s="215"/>
      <c r="I7" s="216"/>
      <c r="J7" s="84"/>
      <c r="K7" s="199"/>
      <c r="L7" s="193"/>
      <c r="M7" s="193"/>
      <c r="N7" s="193"/>
      <c r="O7" s="200"/>
      <c r="P7" s="85"/>
      <c r="Q7" s="88" t="s">
        <v>562</v>
      </c>
    </row>
    <row r="8" spans="1:17" x14ac:dyDescent="0.2">
      <c r="A8" s="1">
        <f t="shared" si="0"/>
        <v>7</v>
      </c>
      <c r="B8" s="54" t="s">
        <v>563</v>
      </c>
      <c r="C8" s="55"/>
      <c r="D8" s="70"/>
      <c r="E8" s="212"/>
      <c r="F8" s="191">
        <f t="shared" ref="F8:F26" si="1">F$2</f>
        <v>15</v>
      </c>
      <c r="G8" s="191">
        <f t="shared" ref="G8:H32" si="2">G$2</f>
        <v>1</v>
      </c>
      <c r="H8" s="213">
        <f t="shared" si="2"/>
        <v>0</v>
      </c>
      <c r="I8" s="192">
        <f>149*(F8/60+0.4*G8+0.7*H8)</f>
        <v>96.850000000000009</v>
      </c>
      <c r="J8" s="84"/>
      <c r="K8" s="201" t="s">
        <v>564</v>
      </c>
      <c r="L8" s="194"/>
      <c r="M8" s="194"/>
      <c r="N8" s="194"/>
      <c r="O8" s="202"/>
      <c r="P8" s="85"/>
      <c r="Q8" s="88" t="s">
        <v>565</v>
      </c>
    </row>
    <row r="9" spans="1:17" x14ac:dyDescent="0.2">
      <c r="A9" s="1">
        <f t="shared" si="0"/>
        <v>8</v>
      </c>
      <c r="B9" s="56" t="s">
        <v>566</v>
      </c>
      <c r="C9" s="55"/>
      <c r="D9" s="70"/>
      <c r="E9" s="66"/>
      <c r="F9" s="77">
        <f t="shared" si="1"/>
        <v>15</v>
      </c>
      <c r="G9" s="77">
        <f t="shared" si="2"/>
        <v>1</v>
      </c>
      <c r="H9" s="209">
        <f t="shared" si="2"/>
        <v>0</v>
      </c>
      <c r="I9" s="185">
        <f t="shared" ref="I9:I72" si="3">149*(F9/60+0.4*G9+0.7*H9)</f>
        <v>96.850000000000009</v>
      </c>
      <c r="J9" s="84"/>
      <c r="K9" s="201" t="s">
        <v>564</v>
      </c>
      <c r="L9" s="194"/>
      <c r="M9" s="194"/>
      <c r="N9" s="194"/>
      <c r="O9" s="202"/>
      <c r="P9" s="85"/>
      <c r="Q9" s="88" t="s">
        <v>567</v>
      </c>
    </row>
    <row r="10" spans="1:17" x14ac:dyDescent="0.2">
      <c r="A10" s="1">
        <f t="shared" si="0"/>
        <v>9</v>
      </c>
      <c r="B10" s="56" t="s">
        <v>568</v>
      </c>
      <c r="C10" s="55"/>
      <c r="D10" s="70"/>
      <c r="E10" s="66"/>
      <c r="F10" s="77">
        <f t="shared" si="1"/>
        <v>15</v>
      </c>
      <c r="G10" s="77">
        <f t="shared" si="2"/>
        <v>1</v>
      </c>
      <c r="H10" s="209">
        <f t="shared" si="2"/>
        <v>0</v>
      </c>
      <c r="I10" s="185">
        <f t="shared" si="3"/>
        <v>96.850000000000009</v>
      </c>
      <c r="J10" s="84"/>
      <c r="K10" s="201" t="s">
        <v>564</v>
      </c>
      <c r="L10" s="194"/>
      <c r="M10" s="194"/>
      <c r="N10" s="194"/>
      <c r="O10" s="202"/>
      <c r="P10" s="85"/>
      <c r="Q10" s="88" t="s">
        <v>569</v>
      </c>
    </row>
    <row r="11" spans="1:17" x14ac:dyDescent="0.2">
      <c r="A11" s="1">
        <f t="shared" si="0"/>
        <v>10</v>
      </c>
      <c r="B11" s="57" t="s">
        <v>570</v>
      </c>
      <c r="C11" s="58"/>
      <c r="D11" s="70"/>
      <c r="E11" s="66"/>
      <c r="F11" s="77">
        <f t="shared" si="1"/>
        <v>15</v>
      </c>
      <c r="G11" s="77">
        <f t="shared" si="2"/>
        <v>1</v>
      </c>
      <c r="H11" s="209">
        <f t="shared" si="2"/>
        <v>0</v>
      </c>
      <c r="I11" s="185">
        <f t="shared" si="3"/>
        <v>96.850000000000009</v>
      </c>
      <c r="J11" s="84"/>
      <c r="K11" s="201" t="s">
        <v>564</v>
      </c>
      <c r="L11" s="194"/>
      <c r="M11" s="194"/>
      <c r="N11" s="194"/>
      <c r="O11" s="202"/>
      <c r="P11" s="85"/>
    </row>
    <row r="12" spans="1:17" x14ac:dyDescent="0.2">
      <c r="A12" s="1">
        <f t="shared" si="0"/>
        <v>11</v>
      </c>
      <c r="B12" s="59" t="s">
        <v>571</v>
      </c>
      <c r="C12" s="55"/>
      <c r="D12" s="70"/>
      <c r="E12" s="66"/>
      <c r="F12" s="77">
        <f t="shared" ref="F12:F34" si="4">F$2</f>
        <v>15</v>
      </c>
      <c r="G12" s="77">
        <f t="shared" ref="G12:H67" si="5">G$2</f>
        <v>1</v>
      </c>
      <c r="H12" s="209">
        <f t="shared" si="2"/>
        <v>0</v>
      </c>
      <c r="I12" s="185">
        <f t="shared" si="3"/>
        <v>96.850000000000009</v>
      </c>
      <c r="J12" s="84"/>
      <c r="K12" s="201" t="s">
        <v>564</v>
      </c>
      <c r="L12" s="194"/>
      <c r="M12" s="194"/>
      <c r="N12" s="194"/>
      <c r="O12" s="202"/>
      <c r="P12" s="85"/>
    </row>
    <row r="13" spans="1:17" x14ac:dyDescent="0.2">
      <c r="A13" s="1">
        <f t="shared" si="0"/>
        <v>12</v>
      </c>
      <c r="B13" s="59" t="s">
        <v>572</v>
      </c>
      <c r="C13" s="55"/>
      <c r="D13" s="70"/>
      <c r="E13" s="66"/>
      <c r="F13" s="77">
        <f t="shared" si="4"/>
        <v>15</v>
      </c>
      <c r="G13" s="77">
        <f t="shared" si="5"/>
        <v>1</v>
      </c>
      <c r="H13" s="209">
        <f t="shared" si="2"/>
        <v>0</v>
      </c>
      <c r="I13" s="185">
        <f t="shared" si="3"/>
        <v>96.850000000000009</v>
      </c>
      <c r="J13" s="84"/>
      <c r="K13" s="201" t="s">
        <v>564</v>
      </c>
      <c r="L13" s="194"/>
      <c r="M13" s="194"/>
      <c r="N13" s="194"/>
      <c r="O13" s="202"/>
      <c r="P13" s="85"/>
    </row>
    <row r="14" spans="1:17" x14ac:dyDescent="0.2">
      <c r="A14" s="1">
        <f t="shared" si="0"/>
        <v>13</v>
      </c>
      <c r="B14" s="59" t="s">
        <v>573</v>
      </c>
      <c r="C14" s="55"/>
      <c r="D14" s="70"/>
      <c r="E14" s="66"/>
      <c r="F14" s="77">
        <f t="shared" si="4"/>
        <v>15</v>
      </c>
      <c r="G14" s="77">
        <f t="shared" si="5"/>
        <v>1</v>
      </c>
      <c r="H14" s="209">
        <f t="shared" si="2"/>
        <v>0</v>
      </c>
      <c r="I14" s="185">
        <f t="shared" si="3"/>
        <v>96.850000000000009</v>
      </c>
      <c r="J14" s="84"/>
      <c r="K14" s="201" t="s">
        <v>564</v>
      </c>
      <c r="L14" s="194"/>
      <c r="M14" s="194"/>
      <c r="N14" s="194"/>
      <c r="O14" s="202"/>
      <c r="P14" s="85"/>
    </row>
    <row r="15" spans="1:17" x14ac:dyDescent="0.2">
      <c r="A15" s="1">
        <f t="shared" si="0"/>
        <v>14</v>
      </c>
      <c r="B15" s="59" t="s">
        <v>574</v>
      </c>
      <c r="C15" s="55"/>
      <c r="D15" s="70"/>
      <c r="E15" s="66"/>
      <c r="F15" s="77">
        <f t="shared" si="4"/>
        <v>15</v>
      </c>
      <c r="G15" s="77">
        <f t="shared" si="5"/>
        <v>1</v>
      </c>
      <c r="H15" s="209">
        <f t="shared" si="2"/>
        <v>0</v>
      </c>
      <c r="I15" s="185">
        <f t="shared" si="3"/>
        <v>96.850000000000009</v>
      </c>
      <c r="J15" s="84"/>
      <c r="K15" s="201" t="s">
        <v>564</v>
      </c>
      <c r="L15" s="194"/>
      <c r="M15" s="194"/>
      <c r="N15" s="194"/>
      <c r="O15" s="202"/>
      <c r="P15" s="85"/>
    </row>
    <row r="16" spans="1:17" x14ac:dyDescent="0.2">
      <c r="A16" s="1">
        <f t="shared" si="0"/>
        <v>15</v>
      </c>
      <c r="B16" s="59" t="s">
        <v>575</v>
      </c>
      <c r="C16" s="55"/>
      <c r="D16" s="70"/>
      <c r="E16" s="66"/>
      <c r="F16" s="77">
        <f t="shared" si="4"/>
        <v>15</v>
      </c>
      <c r="G16" s="77">
        <f t="shared" si="5"/>
        <v>1</v>
      </c>
      <c r="H16" s="209">
        <f t="shared" si="2"/>
        <v>0</v>
      </c>
      <c r="I16" s="185">
        <f t="shared" si="3"/>
        <v>96.850000000000009</v>
      </c>
      <c r="J16" s="84"/>
      <c r="K16" s="201" t="s">
        <v>564</v>
      </c>
      <c r="L16" s="194"/>
      <c r="M16" s="194"/>
      <c r="N16" s="194"/>
      <c r="O16" s="202"/>
      <c r="P16" s="85"/>
    </row>
    <row r="17" spans="1:16" x14ac:dyDescent="0.2">
      <c r="A17" s="1">
        <f t="shared" si="0"/>
        <v>16</v>
      </c>
      <c r="B17" s="59" t="s">
        <v>576</v>
      </c>
      <c r="C17" s="55"/>
      <c r="D17" s="70"/>
      <c r="E17" s="66"/>
      <c r="F17" s="77">
        <f t="shared" si="4"/>
        <v>15</v>
      </c>
      <c r="G17" s="77">
        <f t="shared" si="5"/>
        <v>1</v>
      </c>
      <c r="H17" s="209">
        <f t="shared" si="2"/>
        <v>0</v>
      </c>
      <c r="I17" s="185">
        <f t="shared" si="3"/>
        <v>96.850000000000009</v>
      </c>
      <c r="J17" s="84"/>
      <c r="K17" s="201" t="s">
        <v>564</v>
      </c>
      <c r="L17" s="194"/>
      <c r="M17" s="194"/>
      <c r="N17" s="194"/>
      <c r="O17" s="202"/>
      <c r="P17" s="85"/>
    </row>
    <row r="18" spans="1:16" x14ac:dyDescent="0.2">
      <c r="A18" s="1">
        <f t="shared" si="0"/>
        <v>17</v>
      </c>
      <c r="B18" s="59" t="s">
        <v>577</v>
      </c>
      <c r="C18" s="55"/>
      <c r="D18" s="70"/>
      <c r="E18" s="66"/>
      <c r="F18" s="77">
        <f t="shared" si="4"/>
        <v>15</v>
      </c>
      <c r="G18" s="77">
        <f t="shared" si="5"/>
        <v>1</v>
      </c>
      <c r="H18" s="209">
        <f t="shared" si="2"/>
        <v>0</v>
      </c>
      <c r="I18" s="185">
        <f t="shared" si="3"/>
        <v>96.850000000000009</v>
      </c>
      <c r="J18" s="84"/>
      <c r="K18" s="201" t="s">
        <v>564</v>
      </c>
      <c r="L18" s="194"/>
      <c r="M18" s="194"/>
      <c r="N18" s="194"/>
      <c r="O18" s="202"/>
      <c r="P18" s="85"/>
    </row>
    <row r="19" spans="1:16" x14ac:dyDescent="0.2">
      <c r="A19" s="1">
        <f t="shared" si="0"/>
        <v>18</v>
      </c>
      <c r="B19" s="59" t="s">
        <v>578</v>
      </c>
      <c r="C19" s="55"/>
      <c r="D19" s="70"/>
      <c r="E19" s="66"/>
      <c r="F19" s="77">
        <f t="shared" si="4"/>
        <v>15</v>
      </c>
      <c r="G19" s="77">
        <f t="shared" si="5"/>
        <v>1</v>
      </c>
      <c r="H19" s="209">
        <f t="shared" si="2"/>
        <v>0</v>
      </c>
      <c r="I19" s="185">
        <f t="shared" si="3"/>
        <v>96.850000000000009</v>
      </c>
      <c r="J19" s="84"/>
      <c r="K19" s="201" t="s">
        <v>564</v>
      </c>
      <c r="L19" s="194"/>
      <c r="M19" s="194"/>
      <c r="N19" s="194"/>
      <c r="O19" s="202"/>
      <c r="P19" s="85"/>
    </row>
    <row r="20" spans="1:16" x14ac:dyDescent="0.2">
      <c r="A20" s="1">
        <f t="shared" si="0"/>
        <v>19</v>
      </c>
      <c r="B20" s="59" t="s">
        <v>579</v>
      </c>
      <c r="C20" s="55"/>
      <c r="D20" s="70"/>
      <c r="E20" s="66"/>
      <c r="F20" s="77">
        <f t="shared" si="4"/>
        <v>15</v>
      </c>
      <c r="G20" s="77">
        <f t="shared" si="5"/>
        <v>1</v>
      </c>
      <c r="H20" s="209">
        <f t="shared" si="2"/>
        <v>0</v>
      </c>
      <c r="I20" s="185">
        <f t="shared" si="3"/>
        <v>96.850000000000009</v>
      </c>
      <c r="J20" s="84"/>
      <c r="K20" s="201" t="s">
        <v>564</v>
      </c>
      <c r="L20" s="194"/>
      <c r="M20" s="194"/>
      <c r="N20" s="194"/>
      <c r="O20" s="202"/>
      <c r="P20" s="85"/>
    </row>
    <row r="21" spans="1:16" x14ac:dyDescent="0.2">
      <c r="A21" s="1">
        <f t="shared" si="0"/>
        <v>20</v>
      </c>
      <c r="B21" s="59" t="s">
        <v>580</v>
      </c>
      <c r="C21" s="55"/>
      <c r="D21" s="70"/>
      <c r="E21" s="66"/>
      <c r="F21" s="77">
        <f t="shared" si="4"/>
        <v>15</v>
      </c>
      <c r="G21" s="77">
        <f t="shared" si="5"/>
        <v>1</v>
      </c>
      <c r="H21" s="209">
        <f t="shared" si="2"/>
        <v>0</v>
      </c>
      <c r="I21" s="185">
        <f t="shared" si="3"/>
        <v>96.850000000000009</v>
      </c>
      <c r="J21" s="84"/>
      <c r="K21" s="201" t="s">
        <v>564</v>
      </c>
      <c r="L21" s="194"/>
      <c r="M21" s="194"/>
      <c r="N21" s="194"/>
      <c r="O21" s="202"/>
      <c r="P21" s="85"/>
    </row>
    <row r="22" spans="1:16" x14ac:dyDescent="0.2">
      <c r="A22" s="1">
        <f t="shared" si="0"/>
        <v>21</v>
      </c>
      <c r="B22" s="59" t="s">
        <v>581</v>
      </c>
      <c r="C22" s="55"/>
      <c r="D22" s="70"/>
      <c r="E22" s="66"/>
      <c r="F22" s="77">
        <f t="shared" si="4"/>
        <v>15</v>
      </c>
      <c r="G22" s="77">
        <f t="shared" si="5"/>
        <v>1</v>
      </c>
      <c r="H22" s="209">
        <f t="shared" si="2"/>
        <v>0</v>
      </c>
      <c r="I22" s="185">
        <f t="shared" si="3"/>
        <v>96.850000000000009</v>
      </c>
      <c r="J22" s="84"/>
      <c r="K22" s="201" t="s">
        <v>564</v>
      </c>
      <c r="L22" s="194"/>
      <c r="M22" s="194"/>
      <c r="N22" s="194"/>
      <c r="O22" s="202"/>
      <c r="P22" s="85"/>
    </row>
    <row r="23" spans="1:16" x14ac:dyDescent="0.2">
      <c r="A23" s="1">
        <f t="shared" si="0"/>
        <v>22</v>
      </c>
      <c r="B23" s="59" t="s">
        <v>582</v>
      </c>
      <c r="C23" s="55"/>
      <c r="D23" s="70"/>
      <c r="E23" s="66"/>
      <c r="F23" s="77">
        <f t="shared" si="1"/>
        <v>15</v>
      </c>
      <c r="G23" s="77">
        <f t="shared" si="2"/>
        <v>1</v>
      </c>
      <c r="H23" s="209">
        <f t="shared" si="2"/>
        <v>0</v>
      </c>
      <c r="I23" s="185">
        <f t="shared" si="3"/>
        <v>96.850000000000009</v>
      </c>
      <c r="J23" s="84"/>
      <c r="K23" s="201" t="s">
        <v>564</v>
      </c>
      <c r="L23" s="194"/>
      <c r="M23" s="194"/>
      <c r="N23" s="194"/>
      <c r="O23" s="202"/>
      <c r="P23" s="85"/>
    </row>
    <row r="24" spans="1:16" x14ac:dyDescent="0.2">
      <c r="A24" s="1">
        <f t="shared" si="0"/>
        <v>23</v>
      </c>
      <c r="B24" s="59" t="s">
        <v>583</v>
      </c>
      <c r="C24" s="55"/>
      <c r="D24" s="70"/>
      <c r="E24" s="66"/>
      <c r="F24" s="77">
        <f t="shared" si="1"/>
        <v>15</v>
      </c>
      <c r="G24" s="77">
        <f t="shared" si="2"/>
        <v>1</v>
      </c>
      <c r="H24" s="209">
        <f t="shared" si="2"/>
        <v>0</v>
      </c>
      <c r="I24" s="185">
        <f t="shared" si="3"/>
        <v>96.850000000000009</v>
      </c>
      <c r="J24" s="84"/>
      <c r="K24" s="201" t="s">
        <v>564</v>
      </c>
      <c r="L24" s="194"/>
      <c r="M24" s="194"/>
      <c r="N24" s="194"/>
      <c r="O24" s="202"/>
      <c r="P24" s="85"/>
    </row>
    <row r="25" spans="1:16" x14ac:dyDescent="0.2">
      <c r="A25" s="1">
        <f t="shared" si="0"/>
        <v>24</v>
      </c>
      <c r="B25" s="60" t="s">
        <v>584</v>
      </c>
      <c r="C25" s="55"/>
      <c r="D25" s="70"/>
      <c r="E25" s="66"/>
      <c r="F25" s="77">
        <f t="shared" si="1"/>
        <v>15</v>
      </c>
      <c r="G25" s="77">
        <f t="shared" si="2"/>
        <v>1</v>
      </c>
      <c r="H25" s="209">
        <f t="shared" si="2"/>
        <v>0</v>
      </c>
      <c r="I25" s="185">
        <f t="shared" si="3"/>
        <v>96.850000000000009</v>
      </c>
      <c r="J25" s="84"/>
      <c r="K25" s="201" t="s">
        <v>564</v>
      </c>
      <c r="L25" s="194"/>
      <c r="M25" s="194"/>
      <c r="N25" s="194"/>
      <c r="O25" s="202"/>
      <c r="P25" s="85"/>
    </row>
    <row r="26" spans="1:16" x14ac:dyDescent="0.2">
      <c r="A26" s="1">
        <f t="shared" si="0"/>
        <v>25</v>
      </c>
      <c r="B26" s="60" t="s">
        <v>585</v>
      </c>
      <c r="C26" s="55" t="s">
        <v>586</v>
      </c>
      <c r="D26" s="70"/>
      <c r="E26" s="66">
        <v>10000</v>
      </c>
      <c r="F26" s="77">
        <f t="shared" si="1"/>
        <v>15</v>
      </c>
      <c r="G26" s="77">
        <f t="shared" si="2"/>
        <v>1</v>
      </c>
      <c r="H26" s="209">
        <f t="shared" si="2"/>
        <v>0</v>
      </c>
      <c r="I26" s="185">
        <f t="shared" si="3"/>
        <v>96.850000000000009</v>
      </c>
      <c r="J26" s="70"/>
      <c r="K26" s="217">
        <v>1000000</v>
      </c>
      <c r="L26" s="77">
        <f>F$2</f>
        <v>15</v>
      </c>
      <c r="M26" s="77">
        <f t="shared" ref="M26:M31" si="6">M$2</f>
        <v>1</v>
      </c>
      <c r="N26" s="78">
        <f>M26*0.1</f>
        <v>0.1</v>
      </c>
      <c r="O26" s="218">
        <f t="shared" ref="O26:O67" si="7">149*(L26/60+0.4*M26+0.7*N26)</f>
        <v>107.28</v>
      </c>
      <c r="P26" s="70"/>
    </row>
    <row r="27" spans="1:16" x14ac:dyDescent="0.2">
      <c r="A27" s="1">
        <f t="shared" si="0"/>
        <v>26</v>
      </c>
      <c r="B27" s="60" t="s">
        <v>587</v>
      </c>
      <c r="C27" s="55"/>
      <c r="D27" s="70"/>
      <c r="E27" s="66"/>
      <c r="F27" s="79">
        <v>30</v>
      </c>
      <c r="G27" s="77">
        <f t="shared" si="2"/>
        <v>1</v>
      </c>
      <c r="H27" s="209">
        <f t="shared" si="2"/>
        <v>0</v>
      </c>
      <c r="I27" s="185">
        <f t="shared" si="3"/>
        <v>134.1</v>
      </c>
      <c r="J27" s="84"/>
      <c r="K27" s="201" t="s">
        <v>564</v>
      </c>
      <c r="L27" s="194"/>
      <c r="M27" s="194"/>
      <c r="N27" s="194"/>
      <c r="O27" s="202"/>
      <c r="P27" s="85"/>
    </row>
    <row r="28" spans="1:16" x14ac:dyDescent="0.2">
      <c r="A28" s="1">
        <f t="shared" si="0"/>
        <v>27</v>
      </c>
      <c r="B28" s="60" t="s">
        <v>588</v>
      </c>
      <c r="C28" s="55"/>
      <c r="D28" s="70"/>
      <c r="E28" s="66"/>
      <c r="F28" s="77">
        <f>F$2</f>
        <v>15</v>
      </c>
      <c r="G28" s="77">
        <f t="shared" si="2"/>
        <v>1</v>
      </c>
      <c r="H28" s="209">
        <f t="shared" si="2"/>
        <v>0</v>
      </c>
      <c r="I28" s="185">
        <f t="shared" si="3"/>
        <v>96.850000000000009</v>
      </c>
      <c r="J28" s="70"/>
      <c r="K28" s="219"/>
      <c r="L28" s="77">
        <f>F$2</f>
        <v>15</v>
      </c>
      <c r="M28" s="77">
        <f t="shared" si="6"/>
        <v>1</v>
      </c>
      <c r="N28" s="78">
        <f>M28*0.1</f>
        <v>0.1</v>
      </c>
      <c r="O28" s="218">
        <f t="shared" si="7"/>
        <v>107.28</v>
      </c>
      <c r="P28" s="70"/>
    </row>
    <row r="29" spans="1:16" x14ac:dyDescent="0.2">
      <c r="A29" s="1">
        <f t="shared" si="0"/>
        <v>28</v>
      </c>
      <c r="B29" s="60" t="s">
        <v>589</v>
      </c>
      <c r="C29" s="55" t="s">
        <v>586</v>
      </c>
      <c r="D29" s="70"/>
      <c r="E29" s="65">
        <v>1000</v>
      </c>
      <c r="F29" s="77">
        <f t="shared" si="4"/>
        <v>15</v>
      </c>
      <c r="G29" s="77">
        <f t="shared" si="2"/>
        <v>1</v>
      </c>
      <c r="H29" s="209">
        <f t="shared" si="2"/>
        <v>0</v>
      </c>
      <c r="I29" s="185">
        <f t="shared" si="3"/>
        <v>96.850000000000009</v>
      </c>
      <c r="J29" s="70"/>
      <c r="K29" s="217">
        <v>100000</v>
      </c>
      <c r="L29" s="79">
        <v>300</v>
      </c>
      <c r="M29" s="77">
        <v>5</v>
      </c>
      <c r="N29" s="80">
        <f>M29*0.1</f>
        <v>0.5</v>
      </c>
      <c r="O29" s="218">
        <f t="shared" si="7"/>
        <v>1095.1499999999999</v>
      </c>
      <c r="P29" s="70"/>
    </row>
    <row r="30" spans="1:16" x14ac:dyDescent="0.2">
      <c r="A30" s="1">
        <f t="shared" si="0"/>
        <v>29</v>
      </c>
      <c r="B30" s="60" t="s">
        <v>590</v>
      </c>
      <c r="C30" s="55" t="s">
        <v>591</v>
      </c>
      <c r="D30" s="70"/>
      <c r="E30" s="67">
        <f>240*200</f>
        <v>48000</v>
      </c>
      <c r="F30" s="77">
        <f>F$2</f>
        <v>15</v>
      </c>
      <c r="G30" s="77">
        <f>G$2</f>
        <v>1</v>
      </c>
      <c r="H30" s="209">
        <f t="shared" si="2"/>
        <v>0</v>
      </c>
      <c r="I30" s="185">
        <f t="shared" si="3"/>
        <v>96.850000000000009</v>
      </c>
      <c r="J30" s="84"/>
      <c r="K30" s="201" t="s">
        <v>564</v>
      </c>
      <c r="L30" s="194"/>
      <c r="M30" s="194"/>
      <c r="N30" s="194"/>
      <c r="O30" s="202"/>
      <c r="P30" s="85"/>
    </row>
    <row r="31" spans="1:16" x14ac:dyDescent="0.2">
      <c r="A31" s="1">
        <f t="shared" si="0"/>
        <v>30</v>
      </c>
      <c r="B31" s="60" t="s">
        <v>592</v>
      </c>
      <c r="C31" s="55" t="s">
        <v>586</v>
      </c>
      <c r="D31" s="70"/>
      <c r="E31" s="65">
        <v>500</v>
      </c>
      <c r="F31" s="77">
        <f t="shared" si="4"/>
        <v>15</v>
      </c>
      <c r="G31" s="77">
        <f t="shared" si="2"/>
        <v>1</v>
      </c>
      <c r="H31" s="209">
        <f t="shared" si="2"/>
        <v>0</v>
      </c>
      <c r="I31" s="185">
        <f t="shared" si="3"/>
        <v>96.850000000000009</v>
      </c>
      <c r="J31" s="70"/>
      <c r="K31" s="217">
        <v>500</v>
      </c>
      <c r="L31" s="77">
        <f>F$2</f>
        <v>15</v>
      </c>
      <c r="M31" s="77">
        <f t="shared" si="6"/>
        <v>1</v>
      </c>
      <c r="N31" s="80">
        <f>M31*0.1</f>
        <v>0.1</v>
      </c>
      <c r="O31" s="218">
        <f t="shared" si="7"/>
        <v>107.28</v>
      </c>
      <c r="P31" s="70"/>
    </row>
    <row r="32" spans="1:16" x14ac:dyDescent="0.2">
      <c r="A32" s="1">
        <f t="shared" si="0"/>
        <v>31</v>
      </c>
      <c r="B32" s="60" t="s">
        <v>593</v>
      </c>
      <c r="C32" s="55" t="s">
        <v>594</v>
      </c>
      <c r="D32" s="70"/>
      <c r="E32" s="68">
        <v>15</v>
      </c>
      <c r="F32" s="77">
        <f t="shared" si="4"/>
        <v>15</v>
      </c>
      <c r="G32" s="77">
        <f t="shared" si="2"/>
        <v>1</v>
      </c>
      <c r="H32" s="209">
        <f t="shared" si="2"/>
        <v>0</v>
      </c>
      <c r="I32" s="185">
        <f t="shared" si="3"/>
        <v>96.850000000000009</v>
      </c>
      <c r="J32" s="70"/>
      <c r="K32" s="220">
        <v>15</v>
      </c>
      <c r="L32" s="77">
        <f>F$2</f>
        <v>15</v>
      </c>
      <c r="M32" s="77">
        <f t="shared" ref="M32" si="8">M$2</f>
        <v>1</v>
      </c>
      <c r="N32" s="80">
        <f>M32*0.1</f>
        <v>0.1</v>
      </c>
      <c r="O32" s="218">
        <f t="shared" si="7"/>
        <v>107.28</v>
      </c>
      <c r="P32" s="70"/>
    </row>
    <row r="33" spans="1:16" x14ac:dyDescent="0.2">
      <c r="A33" s="1">
        <f t="shared" si="0"/>
        <v>32</v>
      </c>
      <c r="B33" s="60" t="s">
        <v>595</v>
      </c>
      <c r="C33" s="55"/>
      <c r="D33" s="70"/>
      <c r="E33" s="66"/>
      <c r="F33" s="77">
        <f t="shared" si="4"/>
        <v>15</v>
      </c>
      <c r="G33" s="77">
        <f t="shared" si="5"/>
        <v>1</v>
      </c>
      <c r="H33" s="209">
        <f t="shared" si="5"/>
        <v>0</v>
      </c>
      <c r="I33" s="185">
        <f t="shared" si="3"/>
        <v>96.850000000000009</v>
      </c>
      <c r="J33" s="84"/>
      <c r="K33" s="201" t="s">
        <v>564</v>
      </c>
      <c r="L33" s="194"/>
      <c r="M33" s="194"/>
      <c r="N33" s="194"/>
      <c r="O33" s="202"/>
      <c r="P33" s="85"/>
    </row>
    <row r="34" spans="1:16" x14ac:dyDescent="0.2">
      <c r="A34" s="1">
        <f t="shared" si="0"/>
        <v>33</v>
      </c>
      <c r="B34" s="60" t="s">
        <v>596</v>
      </c>
      <c r="C34" s="55"/>
      <c r="D34" s="70"/>
      <c r="E34" s="66"/>
      <c r="F34" s="77">
        <f t="shared" si="4"/>
        <v>15</v>
      </c>
      <c r="G34" s="77">
        <f t="shared" si="5"/>
        <v>1</v>
      </c>
      <c r="H34" s="209">
        <f t="shared" si="5"/>
        <v>0</v>
      </c>
      <c r="I34" s="185">
        <f t="shared" si="3"/>
        <v>96.850000000000009</v>
      </c>
      <c r="J34" s="84"/>
      <c r="K34" s="201" t="s">
        <v>564</v>
      </c>
      <c r="L34" s="194"/>
      <c r="M34" s="194"/>
      <c r="N34" s="194"/>
      <c r="O34" s="202"/>
      <c r="P34" s="85"/>
    </row>
    <row r="35" spans="1:16" x14ac:dyDescent="0.2">
      <c r="A35" s="1">
        <f t="shared" si="0"/>
        <v>34</v>
      </c>
      <c r="B35" s="61" t="s">
        <v>597</v>
      </c>
      <c r="C35" s="55"/>
      <c r="D35" s="70"/>
      <c r="E35" s="66"/>
      <c r="F35" s="79">
        <v>60</v>
      </c>
      <c r="G35" s="77">
        <f t="shared" si="5"/>
        <v>1</v>
      </c>
      <c r="H35" s="209">
        <f t="shared" si="5"/>
        <v>0</v>
      </c>
      <c r="I35" s="185">
        <f t="shared" si="3"/>
        <v>208.6</v>
      </c>
      <c r="J35" s="84"/>
      <c r="K35" s="201" t="s">
        <v>564</v>
      </c>
      <c r="L35" s="194"/>
      <c r="M35" s="194"/>
      <c r="N35" s="194"/>
      <c r="O35" s="202"/>
      <c r="P35" s="85"/>
    </row>
    <row r="36" spans="1:16" x14ac:dyDescent="0.2">
      <c r="A36" s="1">
        <f t="shared" si="0"/>
        <v>35</v>
      </c>
      <c r="B36" s="61" t="s">
        <v>598</v>
      </c>
      <c r="C36" s="55"/>
      <c r="D36" s="70"/>
      <c r="E36" s="66"/>
      <c r="F36" s="79">
        <v>60</v>
      </c>
      <c r="G36" s="77">
        <f t="shared" si="5"/>
        <v>1</v>
      </c>
      <c r="H36" s="209">
        <f t="shared" si="5"/>
        <v>0</v>
      </c>
      <c r="I36" s="185">
        <f t="shared" si="3"/>
        <v>208.6</v>
      </c>
      <c r="J36" s="84"/>
      <c r="K36" s="201" t="s">
        <v>564</v>
      </c>
      <c r="L36" s="194"/>
      <c r="M36" s="194"/>
      <c r="N36" s="194"/>
      <c r="O36" s="202"/>
      <c r="P36" s="85"/>
    </row>
    <row r="37" spans="1:16" x14ac:dyDescent="0.2">
      <c r="A37" s="1">
        <f t="shared" si="0"/>
        <v>36</v>
      </c>
      <c r="B37" s="59" t="s">
        <v>599</v>
      </c>
      <c r="C37" s="55" t="s">
        <v>600</v>
      </c>
      <c r="D37" s="70"/>
      <c r="E37" s="76">
        <v>0.5</v>
      </c>
      <c r="F37" s="77">
        <f>F$2</f>
        <v>15</v>
      </c>
      <c r="G37" s="77">
        <f t="shared" si="5"/>
        <v>1</v>
      </c>
      <c r="H37" s="209">
        <f t="shared" si="5"/>
        <v>0</v>
      </c>
      <c r="I37" s="185">
        <f t="shared" si="3"/>
        <v>96.850000000000009</v>
      </c>
      <c r="J37" s="70"/>
      <c r="K37" s="220">
        <v>100</v>
      </c>
      <c r="L37" s="79" t="s">
        <v>601</v>
      </c>
      <c r="M37" s="81">
        <v>5</v>
      </c>
      <c r="N37" s="80">
        <f>M37*0.1</f>
        <v>0.5</v>
      </c>
      <c r="O37" s="218" t="e">
        <f t="shared" si="7"/>
        <v>#VALUE!</v>
      </c>
      <c r="P37" s="70"/>
    </row>
    <row r="38" spans="1:16" x14ac:dyDescent="0.2">
      <c r="A38" s="1">
        <f t="shared" si="0"/>
        <v>37</v>
      </c>
      <c r="B38" s="59" t="s">
        <v>602</v>
      </c>
      <c r="C38" s="55" t="s">
        <v>603</v>
      </c>
      <c r="D38" s="70"/>
      <c r="E38" s="67">
        <v>1000</v>
      </c>
      <c r="F38" s="77">
        <v>0</v>
      </c>
      <c r="G38" s="77">
        <v>0</v>
      </c>
      <c r="H38" s="209">
        <f t="shared" si="5"/>
        <v>0</v>
      </c>
      <c r="I38" s="185">
        <f t="shared" si="3"/>
        <v>0</v>
      </c>
      <c r="J38" s="70"/>
      <c r="K38" s="221">
        <v>100000</v>
      </c>
      <c r="L38" s="79" t="s">
        <v>604</v>
      </c>
      <c r="M38" s="81">
        <v>5</v>
      </c>
      <c r="N38" s="80">
        <f>M38*0.1</f>
        <v>0.5</v>
      </c>
      <c r="O38" s="218" t="e">
        <f t="shared" si="7"/>
        <v>#VALUE!</v>
      </c>
      <c r="P38" s="70"/>
    </row>
    <row r="39" spans="1:16" x14ac:dyDescent="0.2">
      <c r="A39" s="1">
        <f t="shared" si="0"/>
        <v>38</v>
      </c>
      <c r="B39" s="59" t="s">
        <v>605</v>
      </c>
      <c r="C39" s="55" t="s">
        <v>600</v>
      </c>
      <c r="D39" s="70"/>
      <c r="E39" s="76">
        <v>0.5</v>
      </c>
      <c r="F39" s="77">
        <f>F$2</f>
        <v>15</v>
      </c>
      <c r="G39" s="77">
        <f t="shared" si="5"/>
        <v>1</v>
      </c>
      <c r="H39" s="209">
        <f t="shared" si="5"/>
        <v>0</v>
      </c>
      <c r="I39" s="185">
        <f t="shared" si="3"/>
        <v>96.850000000000009</v>
      </c>
      <c r="J39" s="70"/>
      <c r="K39" s="220">
        <v>100</v>
      </c>
      <c r="L39" s="79" t="s">
        <v>601</v>
      </c>
      <c r="M39" s="81">
        <v>5</v>
      </c>
      <c r="N39" s="80">
        <f>M39*0.1</f>
        <v>0.5</v>
      </c>
      <c r="O39" s="218" t="e">
        <f t="shared" si="7"/>
        <v>#VALUE!</v>
      </c>
      <c r="P39" s="70"/>
    </row>
    <row r="40" spans="1:16" x14ac:dyDescent="0.2">
      <c r="A40" s="1">
        <f t="shared" si="0"/>
        <v>39</v>
      </c>
      <c r="B40" s="62" t="s">
        <v>606</v>
      </c>
      <c r="C40" s="55"/>
      <c r="D40" s="70"/>
      <c r="E40" s="66"/>
      <c r="F40" s="77">
        <f>F$2</f>
        <v>15</v>
      </c>
      <c r="G40" s="77">
        <f t="shared" si="5"/>
        <v>1</v>
      </c>
      <c r="H40" s="209">
        <f t="shared" si="5"/>
        <v>0</v>
      </c>
      <c r="I40" s="185">
        <f t="shared" si="3"/>
        <v>96.850000000000009</v>
      </c>
      <c r="J40" s="70"/>
      <c r="K40" s="220">
        <v>100</v>
      </c>
      <c r="L40" s="79">
        <v>20</v>
      </c>
      <c r="M40" s="81">
        <v>3</v>
      </c>
      <c r="N40" s="80">
        <f>M40*0.1</f>
        <v>0.30000000000000004</v>
      </c>
      <c r="O40" s="218">
        <f t="shared" ref="O40" si="9">149*(L40/60+0.4*M40+0.7*N40)</f>
        <v>259.75666666666666</v>
      </c>
      <c r="P40" s="70"/>
    </row>
    <row r="41" spans="1:16" x14ac:dyDescent="0.2">
      <c r="A41" s="1">
        <f t="shared" si="0"/>
        <v>40</v>
      </c>
      <c r="B41" s="62" t="s">
        <v>607</v>
      </c>
      <c r="C41" s="55"/>
      <c r="D41" s="70"/>
      <c r="E41" s="66"/>
      <c r="F41" s="79">
        <v>60</v>
      </c>
      <c r="G41" s="77">
        <f t="shared" si="5"/>
        <v>1</v>
      </c>
      <c r="H41" s="209">
        <f t="shared" si="5"/>
        <v>0</v>
      </c>
      <c r="I41" s="185">
        <f t="shared" si="3"/>
        <v>208.6</v>
      </c>
      <c r="J41" s="84"/>
      <c r="K41" s="201" t="s">
        <v>564</v>
      </c>
      <c r="L41" s="194"/>
      <c r="M41" s="194"/>
      <c r="N41" s="194"/>
      <c r="O41" s="202"/>
      <c r="P41" s="85"/>
    </row>
    <row r="42" spans="1:16" x14ac:dyDescent="0.2">
      <c r="A42" s="1">
        <f t="shared" si="0"/>
        <v>41</v>
      </c>
      <c r="B42" s="62" t="s">
        <v>608</v>
      </c>
      <c r="C42" s="55"/>
      <c r="D42" s="70"/>
      <c r="E42" s="66"/>
      <c r="F42" s="77">
        <f t="shared" ref="F42:F50" si="10">F$2</f>
        <v>15</v>
      </c>
      <c r="G42" s="77">
        <f t="shared" si="5"/>
        <v>1</v>
      </c>
      <c r="H42" s="209">
        <f t="shared" si="5"/>
        <v>0</v>
      </c>
      <c r="I42" s="185">
        <f t="shared" si="3"/>
        <v>96.850000000000009</v>
      </c>
      <c r="J42" s="84"/>
      <c r="K42" s="201" t="s">
        <v>564</v>
      </c>
      <c r="L42" s="194"/>
      <c r="M42" s="194"/>
      <c r="N42" s="194"/>
      <c r="O42" s="202"/>
      <c r="P42" s="85"/>
    </row>
    <row r="43" spans="1:16" x14ac:dyDescent="0.2">
      <c r="A43" s="1">
        <f t="shared" si="0"/>
        <v>42</v>
      </c>
      <c r="B43" s="62" t="s">
        <v>609</v>
      </c>
      <c r="C43" s="55"/>
      <c r="D43" s="70"/>
      <c r="E43" s="66"/>
      <c r="F43" s="77">
        <f t="shared" si="10"/>
        <v>15</v>
      </c>
      <c r="G43" s="77">
        <f t="shared" si="5"/>
        <v>1</v>
      </c>
      <c r="H43" s="209">
        <f t="shared" si="5"/>
        <v>0</v>
      </c>
      <c r="I43" s="185">
        <f t="shared" si="3"/>
        <v>96.850000000000009</v>
      </c>
      <c r="J43" s="70"/>
      <c r="K43" s="219"/>
      <c r="L43" s="77">
        <f>F$2</f>
        <v>15</v>
      </c>
      <c r="M43" s="77">
        <f t="shared" ref="M43:M47" si="11">M$2</f>
        <v>1</v>
      </c>
      <c r="N43" s="80">
        <f>M43*0.1</f>
        <v>0.1</v>
      </c>
      <c r="O43" s="218">
        <f t="shared" si="7"/>
        <v>107.28</v>
      </c>
      <c r="P43" s="70"/>
    </row>
    <row r="44" spans="1:16" x14ac:dyDescent="0.2">
      <c r="A44" s="1">
        <f t="shared" si="0"/>
        <v>43</v>
      </c>
      <c r="B44" s="62" t="s">
        <v>610</v>
      </c>
      <c r="C44" s="55"/>
      <c r="D44" s="70"/>
      <c r="E44" s="66"/>
      <c r="F44" s="77">
        <f t="shared" si="10"/>
        <v>15</v>
      </c>
      <c r="G44" s="77">
        <f t="shared" si="5"/>
        <v>1</v>
      </c>
      <c r="H44" s="209">
        <f t="shared" si="5"/>
        <v>0</v>
      </c>
      <c r="I44" s="185">
        <f t="shared" si="3"/>
        <v>96.850000000000009</v>
      </c>
      <c r="J44" s="70"/>
      <c r="K44" s="219"/>
      <c r="L44" s="77">
        <f>F$2</f>
        <v>15</v>
      </c>
      <c r="M44" s="77">
        <f t="shared" si="11"/>
        <v>1</v>
      </c>
      <c r="N44" s="80">
        <f>M44*0.1</f>
        <v>0.1</v>
      </c>
      <c r="O44" s="218">
        <f t="shared" si="7"/>
        <v>107.28</v>
      </c>
      <c r="P44" s="70"/>
    </row>
    <row r="45" spans="1:16" x14ac:dyDescent="0.2">
      <c r="A45" s="1">
        <f t="shared" si="0"/>
        <v>44</v>
      </c>
      <c r="B45" s="59" t="s">
        <v>611</v>
      </c>
      <c r="C45" s="55"/>
      <c r="D45" s="70"/>
      <c r="E45" s="66"/>
      <c r="F45" s="77">
        <f t="shared" si="10"/>
        <v>15</v>
      </c>
      <c r="G45" s="77">
        <f t="shared" si="5"/>
        <v>1</v>
      </c>
      <c r="H45" s="209">
        <f t="shared" si="5"/>
        <v>0</v>
      </c>
      <c r="I45" s="185">
        <f t="shared" si="3"/>
        <v>96.850000000000009</v>
      </c>
      <c r="J45" s="84"/>
      <c r="K45" s="201" t="s">
        <v>564</v>
      </c>
      <c r="L45" s="194"/>
      <c r="M45" s="194"/>
      <c r="N45" s="194"/>
      <c r="O45" s="202"/>
      <c r="P45" s="85"/>
    </row>
    <row r="46" spans="1:16" x14ac:dyDescent="0.2">
      <c r="A46" s="1">
        <f t="shared" si="0"/>
        <v>45</v>
      </c>
      <c r="B46" s="59" t="s">
        <v>612</v>
      </c>
      <c r="C46" s="55"/>
      <c r="D46" s="70"/>
      <c r="E46" s="66"/>
      <c r="F46" s="77">
        <f t="shared" si="10"/>
        <v>15</v>
      </c>
      <c r="G46" s="77">
        <f t="shared" si="5"/>
        <v>1</v>
      </c>
      <c r="H46" s="209">
        <f t="shared" si="5"/>
        <v>0</v>
      </c>
      <c r="I46" s="185">
        <f t="shared" si="3"/>
        <v>96.850000000000009</v>
      </c>
      <c r="J46" s="84"/>
      <c r="K46" s="201" t="s">
        <v>564</v>
      </c>
      <c r="L46" s="194"/>
      <c r="M46" s="194"/>
      <c r="N46" s="194"/>
      <c r="O46" s="202"/>
      <c r="P46" s="85"/>
    </row>
    <row r="47" spans="1:16" x14ac:dyDescent="0.2">
      <c r="A47" s="1">
        <f t="shared" si="0"/>
        <v>46</v>
      </c>
      <c r="B47" s="59" t="s">
        <v>613</v>
      </c>
      <c r="C47" s="55"/>
      <c r="D47" s="70"/>
      <c r="E47" s="66"/>
      <c r="F47" s="77">
        <f t="shared" si="10"/>
        <v>15</v>
      </c>
      <c r="G47" s="77">
        <f t="shared" si="5"/>
        <v>1</v>
      </c>
      <c r="H47" s="209">
        <f t="shared" si="5"/>
        <v>0</v>
      </c>
      <c r="I47" s="185">
        <f t="shared" si="3"/>
        <v>96.850000000000009</v>
      </c>
      <c r="J47" s="70"/>
      <c r="K47" s="219"/>
      <c r="L47" s="77">
        <f>F$2</f>
        <v>15</v>
      </c>
      <c r="M47" s="77">
        <f t="shared" si="11"/>
        <v>1</v>
      </c>
      <c r="N47" s="80">
        <f t="shared" ref="N47" si="12">M47*0.1</f>
        <v>0.1</v>
      </c>
      <c r="O47" s="218">
        <f t="shared" si="7"/>
        <v>107.28</v>
      </c>
      <c r="P47" s="70"/>
    </row>
    <row r="48" spans="1:16" x14ac:dyDescent="0.2">
      <c r="A48" s="1">
        <f t="shared" si="0"/>
        <v>47</v>
      </c>
      <c r="B48" s="59" t="s">
        <v>614</v>
      </c>
      <c r="C48" s="55"/>
      <c r="D48" s="70"/>
      <c r="E48" s="66"/>
      <c r="F48" s="77">
        <f t="shared" si="10"/>
        <v>15</v>
      </c>
      <c r="G48" s="77">
        <f t="shared" si="5"/>
        <v>1</v>
      </c>
      <c r="H48" s="209">
        <f t="shared" si="5"/>
        <v>0</v>
      </c>
      <c r="I48" s="185">
        <f t="shared" si="3"/>
        <v>96.850000000000009</v>
      </c>
      <c r="J48" s="84"/>
      <c r="K48" s="201" t="s">
        <v>564</v>
      </c>
      <c r="L48" s="194"/>
      <c r="M48" s="194"/>
      <c r="N48" s="194"/>
      <c r="O48" s="202"/>
      <c r="P48" s="85"/>
    </row>
    <row r="49" spans="1:16" x14ac:dyDescent="0.2">
      <c r="A49" s="1">
        <f t="shared" si="0"/>
        <v>48</v>
      </c>
      <c r="B49" s="59" t="s">
        <v>615</v>
      </c>
      <c r="C49" s="55" t="s">
        <v>616</v>
      </c>
      <c r="D49" s="70"/>
      <c r="E49" s="66"/>
      <c r="F49" s="77">
        <f t="shared" si="10"/>
        <v>15</v>
      </c>
      <c r="G49" s="77">
        <f t="shared" si="5"/>
        <v>1</v>
      </c>
      <c r="H49" s="209">
        <f t="shared" si="5"/>
        <v>0</v>
      </c>
      <c r="I49" s="185">
        <f t="shared" si="3"/>
        <v>96.850000000000009</v>
      </c>
      <c r="J49" s="84"/>
      <c r="K49" s="201" t="s">
        <v>564</v>
      </c>
      <c r="L49" s="194"/>
      <c r="M49" s="194"/>
      <c r="N49" s="194"/>
      <c r="O49" s="202"/>
      <c r="P49" s="85"/>
    </row>
    <row r="50" spans="1:16" x14ac:dyDescent="0.2">
      <c r="A50" s="1">
        <f t="shared" si="0"/>
        <v>49</v>
      </c>
      <c r="B50" s="59" t="s">
        <v>617</v>
      </c>
      <c r="C50" s="55" t="s">
        <v>616</v>
      </c>
      <c r="D50" s="70"/>
      <c r="E50" s="66"/>
      <c r="F50" s="77">
        <f t="shared" si="10"/>
        <v>15</v>
      </c>
      <c r="G50" s="77">
        <f t="shared" si="5"/>
        <v>1</v>
      </c>
      <c r="H50" s="209">
        <f t="shared" si="5"/>
        <v>0</v>
      </c>
      <c r="I50" s="185">
        <f t="shared" si="3"/>
        <v>96.850000000000009</v>
      </c>
      <c r="J50" s="84"/>
      <c r="K50" s="201" t="s">
        <v>564</v>
      </c>
      <c r="L50" s="194"/>
      <c r="M50" s="194"/>
      <c r="N50" s="194"/>
      <c r="O50" s="202"/>
      <c r="P50" s="85"/>
    </row>
    <row r="51" spans="1:16" x14ac:dyDescent="0.2">
      <c r="A51" s="1">
        <f t="shared" si="0"/>
        <v>50</v>
      </c>
      <c r="B51" s="59" t="s">
        <v>618</v>
      </c>
      <c r="C51" s="55" t="s">
        <v>616</v>
      </c>
      <c r="D51" s="70"/>
      <c r="E51" s="66"/>
      <c r="F51" s="79">
        <v>30</v>
      </c>
      <c r="G51" s="77">
        <f t="shared" si="5"/>
        <v>1</v>
      </c>
      <c r="H51" s="209">
        <f t="shared" si="5"/>
        <v>0</v>
      </c>
      <c r="I51" s="185">
        <f t="shared" si="3"/>
        <v>134.1</v>
      </c>
      <c r="J51" s="84"/>
      <c r="K51" s="201" t="s">
        <v>564</v>
      </c>
      <c r="L51" s="194"/>
      <c r="M51" s="194"/>
      <c r="N51" s="194"/>
      <c r="O51" s="202"/>
      <c r="P51" s="85"/>
    </row>
    <row r="52" spans="1:16" x14ac:dyDescent="0.2">
      <c r="A52" s="1">
        <f t="shared" si="0"/>
        <v>51</v>
      </c>
      <c r="B52" s="63" t="s">
        <v>619</v>
      </c>
      <c r="C52" s="55" t="s">
        <v>616</v>
      </c>
      <c r="D52" s="70"/>
      <c r="E52" s="66"/>
      <c r="F52" s="77">
        <f t="shared" ref="F52:F65" si="13">F$2</f>
        <v>15</v>
      </c>
      <c r="G52" s="77">
        <f t="shared" si="5"/>
        <v>1</v>
      </c>
      <c r="H52" s="209">
        <f t="shared" si="5"/>
        <v>0</v>
      </c>
      <c r="I52" s="185">
        <f t="shared" si="3"/>
        <v>96.850000000000009</v>
      </c>
      <c r="J52" s="84"/>
      <c r="K52" s="201" t="s">
        <v>564</v>
      </c>
      <c r="L52" s="194"/>
      <c r="M52" s="194"/>
      <c r="N52" s="194"/>
      <c r="O52" s="202"/>
      <c r="P52" s="85"/>
    </row>
    <row r="53" spans="1:16" x14ac:dyDescent="0.2">
      <c r="A53" s="1">
        <f t="shared" si="0"/>
        <v>52</v>
      </c>
      <c r="B53" s="63" t="s">
        <v>620</v>
      </c>
      <c r="C53" s="55" t="s">
        <v>616</v>
      </c>
      <c r="D53" s="70"/>
      <c r="E53" s="66"/>
      <c r="F53" s="77">
        <f t="shared" si="13"/>
        <v>15</v>
      </c>
      <c r="G53" s="77">
        <f t="shared" si="5"/>
        <v>1</v>
      </c>
      <c r="H53" s="209">
        <f t="shared" si="5"/>
        <v>0</v>
      </c>
      <c r="I53" s="185">
        <f t="shared" si="3"/>
        <v>96.850000000000009</v>
      </c>
      <c r="J53" s="84"/>
      <c r="K53" s="201" t="s">
        <v>564</v>
      </c>
      <c r="L53" s="194"/>
      <c r="M53" s="194"/>
      <c r="N53" s="194"/>
      <c r="O53" s="202"/>
      <c r="P53" s="85"/>
    </row>
    <row r="54" spans="1:16" x14ac:dyDescent="0.2">
      <c r="A54" s="1">
        <f t="shared" si="0"/>
        <v>53</v>
      </c>
      <c r="B54" s="63" t="s">
        <v>621</v>
      </c>
      <c r="C54" s="55" t="s">
        <v>616</v>
      </c>
      <c r="D54" s="70"/>
      <c r="E54" s="66"/>
      <c r="F54" s="77">
        <f t="shared" si="13"/>
        <v>15</v>
      </c>
      <c r="G54" s="77">
        <f t="shared" si="5"/>
        <v>1</v>
      </c>
      <c r="H54" s="209">
        <f t="shared" si="5"/>
        <v>0</v>
      </c>
      <c r="I54" s="185">
        <f t="shared" si="3"/>
        <v>96.850000000000009</v>
      </c>
      <c r="J54" s="84"/>
      <c r="K54" s="201" t="s">
        <v>564</v>
      </c>
      <c r="L54" s="194"/>
      <c r="M54" s="194"/>
      <c r="N54" s="194"/>
      <c r="O54" s="202"/>
      <c r="P54" s="85"/>
    </row>
    <row r="55" spans="1:16" x14ac:dyDescent="0.2">
      <c r="A55" s="1">
        <f t="shared" si="0"/>
        <v>54</v>
      </c>
      <c r="B55" s="63" t="s">
        <v>622</v>
      </c>
      <c r="C55" s="55" t="s">
        <v>616</v>
      </c>
      <c r="D55" s="70"/>
      <c r="E55" s="66"/>
      <c r="F55" s="77">
        <f t="shared" si="13"/>
        <v>15</v>
      </c>
      <c r="G55" s="77">
        <f t="shared" si="5"/>
        <v>1</v>
      </c>
      <c r="H55" s="209">
        <f t="shared" si="5"/>
        <v>0</v>
      </c>
      <c r="I55" s="185">
        <f t="shared" si="3"/>
        <v>96.850000000000009</v>
      </c>
      <c r="J55" s="84"/>
      <c r="K55" s="201" t="s">
        <v>564</v>
      </c>
      <c r="L55" s="194"/>
      <c r="M55" s="194"/>
      <c r="N55" s="194"/>
      <c r="O55" s="202"/>
      <c r="P55" s="85"/>
    </row>
    <row r="56" spans="1:16" x14ac:dyDescent="0.2">
      <c r="A56" s="1">
        <f t="shared" si="0"/>
        <v>55</v>
      </c>
      <c r="B56" s="64" t="s">
        <v>623</v>
      </c>
      <c r="C56" s="55" t="s">
        <v>616</v>
      </c>
      <c r="D56" s="70"/>
      <c r="E56" s="66"/>
      <c r="F56" s="77">
        <f t="shared" si="13"/>
        <v>15</v>
      </c>
      <c r="G56" s="77">
        <f t="shared" si="5"/>
        <v>1</v>
      </c>
      <c r="H56" s="209">
        <f t="shared" si="5"/>
        <v>0</v>
      </c>
      <c r="I56" s="185">
        <f t="shared" si="3"/>
        <v>96.850000000000009</v>
      </c>
      <c r="J56" s="84"/>
      <c r="K56" s="201" t="s">
        <v>564</v>
      </c>
      <c r="L56" s="194"/>
      <c r="M56" s="194"/>
      <c r="N56" s="194"/>
      <c r="O56" s="202"/>
      <c r="P56" s="85"/>
    </row>
    <row r="57" spans="1:16" x14ac:dyDescent="0.2">
      <c r="A57" s="1">
        <f t="shared" si="0"/>
        <v>56</v>
      </c>
      <c r="B57" s="64" t="s">
        <v>624</v>
      </c>
      <c r="C57" s="55" t="s">
        <v>616</v>
      </c>
      <c r="D57" s="70"/>
      <c r="E57" s="66"/>
      <c r="F57" s="77">
        <f t="shared" si="13"/>
        <v>15</v>
      </c>
      <c r="G57" s="77">
        <f t="shared" si="5"/>
        <v>1</v>
      </c>
      <c r="H57" s="209">
        <f t="shared" si="5"/>
        <v>0</v>
      </c>
      <c r="I57" s="185">
        <f t="shared" si="3"/>
        <v>96.850000000000009</v>
      </c>
      <c r="J57" s="84"/>
      <c r="K57" s="201" t="s">
        <v>564</v>
      </c>
      <c r="L57" s="194"/>
      <c r="M57" s="194"/>
      <c r="N57" s="194"/>
      <c r="O57" s="202"/>
      <c r="P57" s="85"/>
    </row>
    <row r="58" spans="1:16" x14ac:dyDescent="0.2">
      <c r="A58" s="1">
        <f t="shared" si="0"/>
        <v>57</v>
      </c>
      <c r="B58" s="59" t="s">
        <v>625</v>
      </c>
      <c r="C58" s="55" t="s">
        <v>586</v>
      </c>
      <c r="D58" s="70"/>
      <c r="E58" s="65">
        <v>1000</v>
      </c>
      <c r="F58" s="77">
        <f t="shared" si="13"/>
        <v>15</v>
      </c>
      <c r="G58" s="77">
        <f t="shared" si="5"/>
        <v>1</v>
      </c>
      <c r="H58" s="209">
        <f t="shared" si="5"/>
        <v>0</v>
      </c>
      <c r="I58" s="185">
        <f t="shared" si="3"/>
        <v>96.850000000000009</v>
      </c>
      <c r="J58" s="70"/>
      <c r="K58" s="217">
        <v>1000000</v>
      </c>
      <c r="L58" s="81">
        <v>240</v>
      </c>
      <c r="M58" s="81">
        <v>5</v>
      </c>
      <c r="N58" s="80">
        <f>M58*0.1</f>
        <v>0.5</v>
      </c>
      <c r="O58" s="218">
        <f t="shared" si="7"/>
        <v>946.15</v>
      </c>
      <c r="P58" s="70"/>
    </row>
    <row r="59" spans="1:16" x14ac:dyDescent="0.2">
      <c r="A59" s="1">
        <f t="shared" si="0"/>
        <v>58</v>
      </c>
      <c r="B59" s="59" t="s">
        <v>626</v>
      </c>
      <c r="C59" s="55" t="s">
        <v>586</v>
      </c>
      <c r="D59" s="70"/>
      <c r="E59" s="65">
        <v>1000</v>
      </c>
      <c r="F59" s="77">
        <f t="shared" si="13"/>
        <v>15</v>
      </c>
      <c r="G59" s="77">
        <f t="shared" si="5"/>
        <v>1</v>
      </c>
      <c r="H59" s="209">
        <f t="shared" si="5"/>
        <v>0</v>
      </c>
      <c r="I59" s="185">
        <f t="shared" si="3"/>
        <v>96.850000000000009</v>
      </c>
      <c r="J59" s="70"/>
      <c r="K59" s="217">
        <v>1000000</v>
      </c>
      <c r="L59" s="81">
        <v>240</v>
      </c>
      <c r="M59" s="81">
        <v>5</v>
      </c>
      <c r="N59" s="80">
        <f>M59*0.1</f>
        <v>0.5</v>
      </c>
      <c r="O59" s="218">
        <f t="shared" si="7"/>
        <v>946.15</v>
      </c>
      <c r="P59" s="70"/>
    </row>
    <row r="60" spans="1:16" x14ac:dyDescent="0.2">
      <c r="A60" s="1">
        <f t="shared" si="0"/>
        <v>59</v>
      </c>
      <c r="B60" s="59" t="s">
        <v>627</v>
      </c>
      <c r="C60" s="55" t="s">
        <v>586</v>
      </c>
      <c r="D60" s="70"/>
      <c r="E60" s="65">
        <v>1000</v>
      </c>
      <c r="F60" s="77">
        <f t="shared" si="13"/>
        <v>15</v>
      </c>
      <c r="G60" s="77">
        <f t="shared" si="5"/>
        <v>1</v>
      </c>
      <c r="H60" s="209">
        <f t="shared" si="5"/>
        <v>0</v>
      </c>
      <c r="I60" s="185">
        <f t="shared" si="3"/>
        <v>96.850000000000009</v>
      </c>
      <c r="J60" s="70"/>
      <c r="K60" s="217">
        <v>1000000</v>
      </c>
      <c r="L60" s="81">
        <v>240</v>
      </c>
      <c r="M60" s="81">
        <v>5</v>
      </c>
      <c r="N60" s="80">
        <f>M60*0.1</f>
        <v>0.5</v>
      </c>
      <c r="O60" s="218">
        <f t="shared" si="7"/>
        <v>946.15</v>
      </c>
      <c r="P60" s="70"/>
    </row>
    <row r="61" spans="1:16" x14ac:dyDescent="0.2">
      <c r="A61" s="1">
        <f t="shared" si="0"/>
        <v>60</v>
      </c>
      <c r="B61" s="59" t="s">
        <v>628</v>
      </c>
      <c r="C61" s="55" t="s">
        <v>586</v>
      </c>
      <c r="D61" s="70"/>
      <c r="E61" s="65">
        <v>1000</v>
      </c>
      <c r="F61" s="77">
        <f t="shared" si="13"/>
        <v>15</v>
      </c>
      <c r="G61" s="77">
        <f t="shared" si="5"/>
        <v>1</v>
      </c>
      <c r="H61" s="209">
        <f t="shared" si="5"/>
        <v>0</v>
      </c>
      <c r="I61" s="185">
        <f t="shared" si="3"/>
        <v>96.850000000000009</v>
      </c>
      <c r="J61" s="84"/>
      <c r="K61" s="201" t="s">
        <v>564</v>
      </c>
      <c r="L61" s="194"/>
      <c r="M61" s="194"/>
      <c r="N61" s="194"/>
      <c r="O61" s="202"/>
      <c r="P61" s="85"/>
    </row>
    <row r="62" spans="1:16" x14ac:dyDescent="0.2">
      <c r="A62" s="1">
        <f t="shared" si="0"/>
        <v>61</v>
      </c>
      <c r="B62" s="59" t="s">
        <v>629</v>
      </c>
      <c r="C62" s="55" t="s">
        <v>586</v>
      </c>
      <c r="D62" s="70"/>
      <c r="E62" s="65">
        <v>1000</v>
      </c>
      <c r="F62" s="77">
        <f t="shared" si="13"/>
        <v>15</v>
      </c>
      <c r="G62" s="77">
        <f t="shared" si="5"/>
        <v>1</v>
      </c>
      <c r="H62" s="209">
        <f t="shared" si="5"/>
        <v>0</v>
      </c>
      <c r="I62" s="185">
        <f t="shared" si="3"/>
        <v>96.850000000000009</v>
      </c>
      <c r="J62" s="84"/>
      <c r="K62" s="201" t="s">
        <v>564</v>
      </c>
      <c r="L62" s="194"/>
      <c r="M62" s="194"/>
      <c r="N62" s="194"/>
      <c r="O62" s="202"/>
      <c r="P62" s="85"/>
    </row>
    <row r="63" spans="1:16" x14ac:dyDescent="0.2">
      <c r="A63" s="1">
        <f t="shared" si="0"/>
        <v>62</v>
      </c>
      <c r="B63" s="59" t="s">
        <v>630</v>
      </c>
      <c r="C63" s="55" t="s">
        <v>586</v>
      </c>
      <c r="D63" s="70"/>
      <c r="E63" s="65">
        <v>1000</v>
      </c>
      <c r="F63" s="77">
        <f t="shared" si="13"/>
        <v>15</v>
      </c>
      <c r="G63" s="77">
        <f t="shared" si="5"/>
        <v>1</v>
      </c>
      <c r="H63" s="209">
        <f t="shared" si="5"/>
        <v>0</v>
      </c>
      <c r="I63" s="185">
        <f t="shared" si="3"/>
        <v>96.850000000000009</v>
      </c>
      <c r="J63" s="84"/>
      <c r="K63" s="201" t="s">
        <v>564</v>
      </c>
      <c r="L63" s="194"/>
      <c r="M63" s="194"/>
      <c r="N63" s="194"/>
      <c r="O63" s="202"/>
      <c r="P63" s="85"/>
    </row>
    <row r="64" spans="1:16" x14ac:dyDescent="0.2">
      <c r="A64" s="1">
        <f t="shared" si="0"/>
        <v>63</v>
      </c>
      <c r="B64" s="59" t="s">
        <v>631</v>
      </c>
      <c r="C64" s="55" t="s">
        <v>586</v>
      </c>
      <c r="D64" s="70"/>
      <c r="E64" s="65">
        <v>1000</v>
      </c>
      <c r="F64" s="77">
        <f t="shared" si="13"/>
        <v>15</v>
      </c>
      <c r="G64" s="77">
        <f t="shared" si="5"/>
        <v>1</v>
      </c>
      <c r="H64" s="209">
        <f t="shared" si="5"/>
        <v>0</v>
      </c>
      <c r="I64" s="185">
        <f t="shared" si="3"/>
        <v>96.850000000000009</v>
      </c>
      <c r="J64" s="84"/>
      <c r="K64" s="201" t="s">
        <v>564</v>
      </c>
      <c r="L64" s="194"/>
      <c r="M64" s="194"/>
      <c r="N64" s="194"/>
      <c r="O64" s="202"/>
      <c r="P64" s="85"/>
    </row>
    <row r="65" spans="1:16" x14ac:dyDescent="0.2">
      <c r="A65" s="1">
        <f t="shared" si="0"/>
        <v>64</v>
      </c>
      <c r="B65" s="59" t="s">
        <v>632</v>
      </c>
      <c r="C65" s="55" t="s">
        <v>586</v>
      </c>
      <c r="D65" s="70"/>
      <c r="E65" s="65">
        <v>1000</v>
      </c>
      <c r="F65" s="77">
        <f t="shared" si="13"/>
        <v>15</v>
      </c>
      <c r="G65" s="77">
        <f t="shared" si="5"/>
        <v>1</v>
      </c>
      <c r="H65" s="209">
        <f t="shared" si="5"/>
        <v>0</v>
      </c>
      <c r="I65" s="185">
        <f t="shared" si="3"/>
        <v>96.850000000000009</v>
      </c>
      <c r="J65" s="70"/>
      <c r="K65" s="217">
        <v>1000000</v>
      </c>
      <c r="L65" s="81">
        <v>240</v>
      </c>
      <c r="M65" s="81">
        <v>5</v>
      </c>
      <c r="N65" s="80">
        <f>M65*0.1</f>
        <v>0.5</v>
      </c>
      <c r="O65" s="218">
        <f t="shared" si="7"/>
        <v>946.15</v>
      </c>
      <c r="P65" s="70"/>
    </row>
    <row r="66" spans="1:16" x14ac:dyDescent="0.2">
      <c r="A66" s="1">
        <f t="shared" si="0"/>
        <v>65</v>
      </c>
      <c r="B66" s="59" t="s">
        <v>633</v>
      </c>
      <c r="C66" s="55" t="s">
        <v>586</v>
      </c>
      <c r="D66" s="70"/>
      <c r="E66" s="65">
        <v>1000</v>
      </c>
      <c r="F66" s="79">
        <v>20</v>
      </c>
      <c r="G66" s="77">
        <f t="shared" si="5"/>
        <v>1</v>
      </c>
      <c r="H66" s="209">
        <f t="shared" si="5"/>
        <v>0</v>
      </c>
      <c r="I66" s="185">
        <f t="shared" si="3"/>
        <v>109.26666666666668</v>
      </c>
      <c r="J66" s="70"/>
      <c r="K66" s="217">
        <v>1000000</v>
      </c>
      <c r="L66" s="81">
        <v>1200</v>
      </c>
      <c r="M66" s="81">
        <v>10</v>
      </c>
      <c r="N66" s="80">
        <f>M66*0.1</f>
        <v>1</v>
      </c>
      <c r="O66" s="218">
        <f t="shared" si="7"/>
        <v>3680.2999999999997</v>
      </c>
      <c r="P66" s="70"/>
    </row>
    <row r="67" spans="1:16" x14ac:dyDescent="0.2">
      <c r="A67" s="1">
        <f t="shared" si="0"/>
        <v>66</v>
      </c>
      <c r="B67" s="59" t="s">
        <v>634</v>
      </c>
      <c r="C67" s="55" t="s">
        <v>586</v>
      </c>
      <c r="D67" s="70"/>
      <c r="E67" s="65">
        <v>1000</v>
      </c>
      <c r="F67" s="79">
        <v>30</v>
      </c>
      <c r="G67" s="77">
        <f t="shared" si="5"/>
        <v>1</v>
      </c>
      <c r="H67" s="209">
        <f t="shared" si="5"/>
        <v>0</v>
      </c>
      <c r="I67" s="185">
        <f t="shared" si="3"/>
        <v>134.1</v>
      </c>
      <c r="J67" s="70"/>
      <c r="K67" s="217">
        <v>1000000</v>
      </c>
      <c r="L67" s="79">
        <v>2400</v>
      </c>
      <c r="M67" s="79">
        <v>20</v>
      </c>
      <c r="N67" s="80">
        <f t="shared" ref="N67" si="14">M67*0.1</f>
        <v>2</v>
      </c>
      <c r="O67" s="218">
        <f t="shared" si="7"/>
        <v>7360.5999999999995</v>
      </c>
      <c r="P67" s="70"/>
    </row>
    <row r="68" spans="1:16" x14ac:dyDescent="0.2">
      <c r="A68" s="1">
        <f t="shared" ref="A68:A73" si="15">A67+1</f>
        <v>67</v>
      </c>
      <c r="B68" s="56" t="s">
        <v>635</v>
      </c>
      <c r="C68" s="55" t="s">
        <v>616</v>
      </c>
      <c r="D68" s="70"/>
      <c r="E68" s="66"/>
      <c r="F68" s="77">
        <f t="shared" ref="F68:F73" si="16">F$2</f>
        <v>15</v>
      </c>
      <c r="G68" s="77">
        <f t="shared" ref="G68:H73" si="17">G$2</f>
        <v>1</v>
      </c>
      <c r="H68" s="209">
        <f t="shared" si="17"/>
        <v>0</v>
      </c>
      <c r="I68" s="185">
        <f t="shared" si="3"/>
        <v>96.850000000000009</v>
      </c>
      <c r="J68" s="84"/>
      <c r="K68" s="201" t="s">
        <v>564</v>
      </c>
      <c r="L68" s="194"/>
      <c r="M68" s="194"/>
      <c r="N68" s="194"/>
      <c r="O68" s="202"/>
      <c r="P68" s="85"/>
    </row>
    <row r="69" spans="1:16" x14ac:dyDescent="0.2">
      <c r="A69" s="1">
        <f t="shared" si="15"/>
        <v>68</v>
      </c>
      <c r="B69" s="56" t="s">
        <v>636</v>
      </c>
      <c r="C69" s="55" t="s">
        <v>616</v>
      </c>
      <c r="D69" s="70"/>
      <c r="E69" s="66"/>
      <c r="F69" s="77">
        <f t="shared" si="16"/>
        <v>15</v>
      </c>
      <c r="G69" s="77">
        <f t="shared" si="17"/>
        <v>1</v>
      </c>
      <c r="H69" s="209">
        <f t="shared" si="17"/>
        <v>0</v>
      </c>
      <c r="I69" s="185">
        <f t="shared" si="3"/>
        <v>96.850000000000009</v>
      </c>
      <c r="J69" s="84"/>
      <c r="K69" s="201" t="s">
        <v>564</v>
      </c>
      <c r="L69" s="194"/>
      <c r="M69" s="194"/>
      <c r="N69" s="194"/>
      <c r="O69" s="202"/>
      <c r="P69" s="85"/>
    </row>
    <row r="70" spans="1:16" x14ac:dyDescent="0.2">
      <c r="A70" s="1">
        <f t="shared" si="15"/>
        <v>69</v>
      </c>
      <c r="B70" s="56" t="s">
        <v>637</v>
      </c>
      <c r="C70" s="55" t="s">
        <v>616</v>
      </c>
      <c r="D70" s="70"/>
      <c r="E70" s="66"/>
      <c r="F70" s="77">
        <f t="shared" si="16"/>
        <v>15</v>
      </c>
      <c r="G70" s="77">
        <f t="shared" si="17"/>
        <v>1</v>
      </c>
      <c r="H70" s="209">
        <f t="shared" si="17"/>
        <v>0</v>
      </c>
      <c r="I70" s="185">
        <f t="shared" si="3"/>
        <v>96.850000000000009</v>
      </c>
      <c r="J70" s="84"/>
      <c r="K70" s="201" t="s">
        <v>564</v>
      </c>
      <c r="L70" s="194"/>
      <c r="M70" s="194"/>
      <c r="N70" s="194"/>
      <c r="O70" s="202"/>
      <c r="P70" s="85"/>
    </row>
    <row r="71" spans="1:16" x14ac:dyDescent="0.2">
      <c r="A71" s="1">
        <f t="shared" si="15"/>
        <v>70</v>
      </c>
      <c r="B71" s="56" t="s">
        <v>638</v>
      </c>
      <c r="C71" s="55" t="s">
        <v>616</v>
      </c>
      <c r="D71" s="70"/>
      <c r="E71" s="66"/>
      <c r="F71" s="77">
        <f t="shared" si="16"/>
        <v>15</v>
      </c>
      <c r="G71" s="77">
        <f t="shared" si="17"/>
        <v>1</v>
      </c>
      <c r="H71" s="209">
        <f t="shared" si="17"/>
        <v>0</v>
      </c>
      <c r="I71" s="185">
        <f t="shared" si="3"/>
        <v>96.850000000000009</v>
      </c>
      <c r="J71" s="84"/>
      <c r="K71" s="201" t="s">
        <v>564</v>
      </c>
      <c r="L71" s="194"/>
      <c r="M71" s="194"/>
      <c r="N71" s="194"/>
      <c r="O71" s="202"/>
      <c r="P71" s="85"/>
    </row>
    <row r="72" spans="1:16" x14ac:dyDescent="0.2">
      <c r="A72" s="1">
        <f t="shared" si="15"/>
        <v>71</v>
      </c>
      <c r="B72" s="56" t="s">
        <v>639</v>
      </c>
      <c r="C72" s="55" t="s">
        <v>616</v>
      </c>
      <c r="D72" s="70"/>
      <c r="E72" s="66"/>
      <c r="F72" s="77">
        <f t="shared" si="16"/>
        <v>15</v>
      </c>
      <c r="G72" s="77">
        <f t="shared" si="17"/>
        <v>1</v>
      </c>
      <c r="H72" s="209">
        <f t="shared" si="17"/>
        <v>0</v>
      </c>
      <c r="I72" s="185">
        <f t="shared" si="3"/>
        <v>96.850000000000009</v>
      </c>
      <c r="J72" s="84"/>
      <c r="K72" s="201" t="s">
        <v>564</v>
      </c>
      <c r="L72" s="194"/>
      <c r="M72" s="194"/>
      <c r="N72" s="194"/>
      <c r="O72" s="202"/>
      <c r="P72" s="85"/>
    </row>
    <row r="73" spans="1:16" x14ac:dyDescent="0.2">
      <c r="A73" s="1">
        <f t="shared" si="15"/>
        <v>72</v>
      </c>
      <c r="B73" s="59" t="s">
        <v>478</v>
      </c>
      <c r="C73" s="55" t="s">
        <v>616</v>
      </c>
      <c r="D73" s="70"/>
      <c r="E73" s="66"/>
      <c r="F73" s="77">
        <f t="shared" si="16"/>
        <v>15</v>
      </c>
      <c r="G73" s="77">
        <f t="shared" si="17"/>
        <v>1</v>
      </c>
      <c r="H73" s="209">
        <f t="shared" si="17"/>
        <v>0</v>
      </c>
      <c r="I73" s="185">
        <f t="shared" ref="I73" si="18">149*(F73/60+0.4*G73+0.7*H73)</f>
        <v>96.850000000000009</v>
      </c>
      <c r="J73" s="84"/>
      <c r="K73" s="203" t="s">
        <v>564</v>
      </c>
      <c r="L73" s="204"/>
      <c r="M73" s="204"/>
      <c r="N73" s="204"/>
      <c r="O73" s="205"/>
      <c r="P73" s="85"/>
    </row>
    <row r="74" spans="1:16" x14ac:dyDescent="0.2">
      <c r="A74" s="143"/>
      <c r="B74" s="72"/>
      <c r="C74" s="72"/>
      <c r="D74" s="75"/>
      <c r="E74" s="73"/>
      <c r="F74" s="73"/>
      <c r="G74" s="73"/>
      <c r="H74" s="210"/>
      <c r="I74" s="183"/>
      <c r="J74" s="75"/>
      <c r="K74" s="206"/>
      <c r="L74" s="206"/>
      <c r="M74" s="206"/>
      <c r="N74" s="183"/>
      <c r="O74" s="183"/>
      <c r="P74" s="74"/>
    </row>
    <row r="75" spans="1:16" x14ac:dyDescent="0.2">
      <c r="G75" s="2"/>
      <c r="M75" s="2"/>
    </row>
    <row r="76" spans="1:16" x14ac:dyDescent="0.2">
      <c r="G76" s="2"/>
      <c r="M76" s="2"/>
    </row>
    <row r="77" spans="1:16" x14ac:dyDescent="0.2">
      <c r="G77" s="2"/>
      <c r="M77" s="2"/>
    </row>
    <row r="78" spans="1:16" x14ac:dyDescent="0.2">
      <c r="G78" s="2"/>
      <c r="M78" s="2"/>
    </row>
    <row r="79" spans="1:16" x14ac:dyDescent="0.2">
      <c r="G79" s="3"/>
      <c r="M79" s="3"/>
    </row>
  </sheetData>
  <sortState xmlns:xlrd2="http://schemas.microsoft.com/office/spreadsheetml/2017/richdata2" ref="B3:H79">
    <sortCondition ref="B3:B79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48ACA-1957-5046-9EB4-906F31881CB1}">
  <dimension ref="B2:C40"/>
  <sheetViews>
    <sheetView zoomScaleNormal="150" zoomScaleSheetLayoutView="100" workbookViewId="0">
      <selection activeCell="E39" sqref="E39"/>
    </sheetView>
  </sheetViews>
  <sheetFormatPr defaultRowHeight="15" x14ac:dyDescent="0.2"/>
  <cols>
    <col min="2" max="2" width="11.1640625" customWidth="1"/>
    <col min="3" max="3" width="34.03125" customWidth="1"/>
  </cols>
  <sheetData>
    <row r="2" spans="2:3" x14ac:dyDescent="0.2">
      <c r="B2" t="s">
        <v>99</v>
      </c>
      <c r="C2" t="s">
        <v>794</v>
      </c>
    </row>
    <row r="3" spans="2:3" x14ac:dyDescent="0.2">
      <c r="B3" s="385" t="s">
        <v>79</v>
      </c>
      <c r="C3" s="384" t="str">
        <f>'Permit &amp; App'!B9</f>
        <v>Accessory</v>
      </c>
    </row>
    <row r="4" spans="2:3" x14ac:dyDescent="0.2">
      <c r="B4" s="385" t="s">
        <v>79</v>
      </c>
      <c r="C4" t="s">
        <v>772</v>
      </c>
    </row>
    <row r="5" spans="2:3" x14ac:dyDescent="0.2">
      <c r="B5" s="385" t="s">
        <v>79</v>
      </c>
      <c r="C5" s="384" t="str">
        <f>'Permit &amp; App'!B10</f>
        <v>Commercial</v>
      </c>
    </row>
    <row r="6" spans="2:3" x14ac:dyDescent="0.2">
      <c r="B6" s="385" t="s">
        <v>79</v>
      </c>
      <c r="C6" s="384" t="str">
        <f>'Permit &amp; App'!B11</f>
        <v>Demolition</v>
      </c>
    </row>
    <row r="7" spans="2:3" x14ac:dyDescent="0.2">
      <c r="B7" s="385" t="s">
        <v>79</v>
      </c>
      <c r="C7" s="384" t="str">
        <f>'Permit &amp; App'!B12</f>
        <v>Dwellings</v>
      </c>
    </row>
    <row r="8" spans="2:3" x14ac:dyDescent="0.2">
      <c r="B8" s="385" t="s">
        <v>79</v>
      </c>
      <c r="C8" s="384" t="str">
        <f>'Permit &amp; App'!B13</f>
        <v>Electrical</v>
      </c>
    </row>
    <row r="9" spans="2:3" x14ac:dyDescent="0.2">
      <c r="B9" s="385" t="s">
        <v>79</v>
      </c>
      <c r="C9" s="384" t="str">
        <f>'Permit &amp; App'!B14</f>
        <v>Fire</v>
      </c>
    </row>
    <row r="10" spans="2:3" x14ac:dyDescent="0.2">
      <c r="B10" s="385" t="s">
        <v>79</v>
      </c>
      <c r="C10" s="384" t="str">
        <f>'Permit &amp; App'!B15</f>
        <v>Flood</v>
      </c>
    </row>
    <row r="11" spans="2:3" x14ac:dyDescent="0.2">
      <c r="B11" s="385" t="s">
        <v>79</v>
      </c>
      <c r="C11" s="384" t="str">
        <f>'Permit &amp; App'!B16</f>
        <v>Grading</v>
      </c>
    </row>
    <row r="12" spans="2:3" x14ac:dyDescent="0.2">
      <c r="B12" s="385" t="s">
        <v>79</v>
      </c>
      <c r="C12" s="384" t="str">
        <f>'Permit &amp; App'!B17</f>
        <v>Mechanical</v>
      </c>
    </row>
    <row r="13" spans="2:3" x14ac:dyDescent="0.2">
      <c r="B13" s="385" t="s">
        <v>79</v>
      </c>
      <c r="C13" s="384" t="str">
        <f>'Permit &amp; App'!B18</f>
        <v>Plumbing</v>
      </c>
    </row>
    <row r="14" spans="2:3" x14ac:dyDescent="0.2">
      <c r="B14" s="385" t="s">
        <v>79</v>
      </c>
      <c r="C14" s="384" t="str">
        <f>'Permit &amp; App'!B19</f>
        <v>Pool/Spa</v>
      </c>
    </row>
    <row r="15" spans="2:3" x14ac:dyDescent="0.2">
      <c r="B15" s="388" t="s">
        <v>786</v>
      </c>
      <c r="C15" s="384" t="s">
        <v>790</v>
      </c>
    </row>
    <row r="16" spans="2:3" x14ac:dyDescent="0.2">
      <c r="B16" s="388" t="s">
        <v>786</v>
      </c>
      <c r="C16" s="384" t="s">
        <v>789</v>
      </c>
    </row>
    <row r="17" spans="2:3" x14ac:dyDescent="0.2">
      <c r="B17" s="388" t="s">
        <v>786</v>
      </c>
      <c r="C17" s="384" t="s">
        <v>783</v>
      </c>
    </row>
    <row r="18" spans="2:3" x14ac:dyDescent="0.2">
      <c r="B18" s="388" t="s">
        <v>786</v>
      </c>
      <c r="C18" s="384" t="s">
        <v>784</v>
      </c>
    </row>
    <row r="19" spans="2:3" x14ac:dyDescent="0.2">
      <c r="B19" s="388" t="s">
        <v>786</v>
      </c>
      <c r="C19" s="384" t="s">
        <v>788</v>
      </c>
    </row>
    <row r="20" spans="2:3" x14ac:dyDescent="0.2">
      <c r="B20" s="388" t="s">
        <v>786</v>
      </c>
      <c r="C20" s="384" t="s">
        <v>787</v>
      </c>
    </row>
    <row r="21" spans="2:3" x14ac:dyDescent="0.2">
      <c r="B21" s="386" t="s">
        <v>773</v>
      </c>
      <c r="C21" t="s">
        <v>769</v>
      </c>
    </row>
    <row r="22" spans="2:3" x14ac:dyDescent="0.2">
      <c r="B22" s="386" t="s">
        <v>773</v>
      </c>
      <c r="C22" t="s">
        <v>772</v>
      </c>
    </row>
    <row r="23" spans="2:3" x14ac:dyDescent="0.2">
      <c r="B23" s="386" t="s">
        <v>773</v>
      </c>
      <c r="C23" t="s">
        <v>771</v>
      </c>
    </row>
    <row r="24" spans="2:3" x14ac:dyDescent="0.2">
      <c r="B24" s="386" t="s">
        <v>773</v>
      </c>
      <c r="C24" t="s">
        <v>770</v>
      </c>
    </row>
    <row r="25" spans="2:3" x14ac:dyDescent="0.2">
      <c r="B25" s="387" t="s">
        <v>774</v>
      </c>
      <c r="C25" s="384" t="s">
        <v>777</v>
      </c>
    </row>
    <row r="26" spans="2:3" x14ac:dyDescent="0.2">
      <c r="B26" s="387" t="s">
        <v>774</v>
      </c>
      <c r="C26" t="s">
        <v>781</v>
      </c>
    </row>
    <row r="27" spans="2:3" x14ac:dyDescent="0.2">
      <c r="B27" s="387" t="s">
        <v>774</v>
      </c>
      <c r="C27" t="s">
        <v>31</v>
      </c>
    </row>
    <row r="28" spans="2:3" x14ac:dyDescent="0.2">
      <c r="B28" s="387" t="s">
        <v>774</v>
      </c>
      <c r="C28" t="s">
        <v>779</v>
      </c>
    </row>
    <row r="29" spans="2:3" x14ac:dyDescent="0.2">
      <c r="B29" s="387" t="s">
        <v>774</v>
      </c>
      <c r="C29" s="384" t="s">
        <v>776</v>
      </c>
    </row>
    <row r="30" spans="2:3" x14ac:dyDescent="0.2">
      <c r="B30" s="387" t="s">
        <v>774</v>
      </c>
      <c r="C30" t="s">
        <v>785</v>
      </c>
    </row>
    <row r="31" spans="2:3" x14ac:dyDescent="0.2">
      <c r="B31" s="387" t="s">
        <v>774</v>
      </c>
      <c r="C31" t="s">
        <v>783</v>
      </c>
    </row>
    <row r="32" spans="2:3" x14ac:dyDescent="0.2">
      <c r="B32" s="387" t="s">
        <v>774</v>
      </c>
      <c r="C32" t="s">
        <v>784</v>
      </c>
    </row>
    <row r="33" spans="2:3" x14ac:dyDescent="0.2">
      <c r="B33" s="387" t="s">
        <v>774</v>
      </c>
      <c r="C33" s="384" t="s">
        <v>778</v>
      </c>
    </row>
    <row r="34" spans="2:3" x14ac:dyDescent="0.2">
      <c r="B34" s="387" t="s">
        <v>774</v>
      </c>
      <c r="C34" t="s">
        <v>39</v>
      </c>
    </row>
    <row r="35" spans="2:3" x14ac:dyDescent="0.2">
      <c r="B35" s="387" t="s">
        <v>774</v>
      </c>
      <c r="C35" t="s">
        <v>41</v>
      </c>
    </row>
    <row r="36" spans="2:3" x14ac:dyDescent="0.2">
      <c r="B36" s="387" t="s">
        <v>774</v>
      </c>
      <c r="C36" t="s">
        <v>782</v>
      </c>
    </row>
    <row r="37" spans="2:3" x14ac:dyDescent="0.2">
      <c r="B37" s="387" t="s">
        <v>774</v>
      </c>
      <c r="C37" t="s">
        <v>780</v>
      </c>
    </row>
    <row r="38" spans="2:3" x14ac:dyDescent="0.2">
      <c r="B38" s="387" t="s">
        <v>774</v>
      </c>
      <c r="C38" s="384" t="s">
        <v>775</v>
      </c>
    </row>
    <row r="39" spans="2:3" x14ac:dyDescent="0.2">
      <c r="B39" s="385" t="s">
        <v>793</v>
      </c>
      <c r="C39" t="s">
        <v>791</v>
      </c>
    </row>
    <row r="40" spans="2:3" x14ac:dyDescent="0.2">
      <c r="B40" s="385" t="s">
        <v>793</v>
      </c>
      <c r="C40" t="s">
        <v>792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8737-DD80-4E66-8539-0FDB5F5DBC08}">
  <sheetPr codeName="Sheet4"/>
  <dimension ref="A1:AI61"/>
  <sheetViews>
    <sheetView showGridLines="0" zoomScale="110" zoomScaleNormal="110" workbookViewId="0">
      <pane ySplit="2" topLeftCell="A3" activePane="bottomLeft" state="frozen"/>
      <selection activeCell="E1" sqref="E1"/>
      <selection pane="bottomLeft" activeCell="Y11" sqref="Y11"/>
    </sheetView>
  </sheetViews>
  <sheetFormatPr defaultColWidth="9.14453125" defaultRowHeight="15" x14ac:dyDescent="0.2"/>
  <cols>
    <col min="1" max="1" width="9.14453125" style="383"/>
    <col min="2" max="2" width="21.1171875" style="289" customWidth="1"/>
    <col min="3" max="3" width="11.1640625" style="289" customWidth="1"/>
    <col min="4" max="4" width="10.35546875" style="289" customWidth="1"/>
    <col min="5" max="5" width="6.859375" style="289" customWidth="1"/>
    <col min="6" max="6" width="9.28125" style="303" customWidth="1"/>
    <col min="7" max="7" width="9.81640625" style="304" customWidth="1"/>
    <col min="8" max="8" width="18.5625" style="304" customWidth="1"/>
    <col min="9" max="9" width="25.69140625" style="289" customWidth="1"/>
    <col min="10" max="10" width="7.6640625" style="289" customWidth="1"/>
    <col min="11" max="11" width="7.53125" style="289" customWidth="1"/>
    <col min="12" max="12" width="7.80078125" style="289" customWidth="1"/>
    <col min="13" max="13" width="39.14453125" style="289" hidden="1" customWidth="1"/>
    <col min="14" max="14" width="31.74609375" style="289" customWidth="1"/>
    <col min="15" max="15" width="7.3984375" style="289" customWidth="1"/>
    <col min="16" max="16" width="8.203125" style="289" customWidth="1"/>
    <col min="17" max="17" width="10.76171875" style="289" customWidth="1"/>
    <col min="18" max="18" width="10.625" style="289" customWidth="1"/>
    <col min="19" max="19" width="9.55078125" style="289" customWidth="1"/>
    <col min="20" max="20" width="7.80078125" style="289" customWidth="1"/>
    <col min="21" max="21" width="10.0859375" style="289" customWidth="1"/>
    <col min="22" max="23" width="9.953125" style="289" customWidth="1"/>
    <col min="24" max="24" width="13.046875" style="289" customWidth="1"/>
    <col min="25" max="25" width="13.31640625" style="289" customWidth="1"/>
    <col min="26" max="26" width="11.296875" style="289" customWidth="1"/>
    <col min="27" max="27" width="8.0703125" style="289" customWidth="1"/>
    <col min="28" max="28" width="14.2578125" style="289" customWidth="1"/>
    <col min="29" max="29" width="10.76171875" style="289" customWidth="1"/>
    <col min="30" max="30" width="11.703125" style="289" customWidth="1"/>
    <col min="31" max="31" width="7.26171875" style="289" customWidth="1"/>
    <col min="32" max="32" width="11.703125" style="289" customWidth="1"/>
    <col min="33" max="33" width="10.89453125" style="289" customWidth="1"/>
    <col min="34" max="34" width="10.0859375" style="289" customWidth="1"/>
    <col min="35" max="35" width="16.140625" style="289" customWidth="1"/>
    <col min="36" max="36" width="16.94921875" style="289" customWidth="1"/>
    <col min="37" max="46" width="13.85546875" style="289" customWidth="1"/>
    <col min="47" max="16384" width="9.14453125" style="289"/>
  </cols>
  <sheetData>
    <row r="1" spans="1:35" s="140" customFormat="1" x14ac:dyDescent="0.2">
      <c r="A1" s="381"/>
      <c r="B1" s="316" t="s">
        <v>463</v>
      </c>
      <c r="C1" s="316" t="s">
        <v>482</v>
      </c>
      <c r="D1" s="316" t="s">
        <v>482</v>
      </c>
      <c r="E1" s="316" t="s">
        <v>463</v>
      </c>
      <c r="F1" s="316" t="s">
        <v>463</v>
      </c>
      <c r="G1" s="316" t="s">
        <v>463</v>
      </c>
      <c r="H1" s="316" t="s">
        <v>463</v>
      </c>
      <c r="I1" s="316" t="s">
        <v>482</v>
      </c>
      <c r="J1" s="316" t="s">
        <v>482</v>
      </c>
      <c r="K1" s="316" t="s">
        <v>482</v>
      </c>
      <c r="L1" s="316" t="s">
        <v>463</v>
      </c>
      <c r="M1" s="316" t="s">
        <v>482</v>
      </c>
      <c r="N1" s="316" t="s">
        <v>463</v>
      </c>
      <c r="O1" s="316" t="s">
        <v>463</v>
      </c>
      <c r="P1" s="316" t="s">
        <v>463</v>
      </c>
      <c r="Q1" s="316" t="s">
        <v>482</v>
      </c>
      <c r="R1" s="316" t="s">
        <v>482</v>
      </c>
      <c r="S1" s="316" t="s">
        <v>482</v>
      </c>
      <c r="T1" s="316" t="s">
        <v>463</v>
      </c>
      <c r="U1" s="316" t="s">
        <v>463</v>
      </c>
      <c r="V1" s="316" t="s">
        <v>463</v>
      </c>
      <c r="W1" s="316" t="s">
        <v>463</v>
      </c>
      <c r="X1" s="316" t="s">
        <v>482</v>
      </c>
      <c r="Y1" s="316" t="s">
        <v>482</v>
      </c>
      <c r="Z1" s="316" t="s">
        <v>482</v>
      </c>
      <c r="AA1" s="316" t="s">
        <v>482</v>
      </c>
      <c r="AB1" s="316" t="s">
        <v>482</v>
      </c>
      <c r="AC1" s="316" t="s">
        <v>482</v>
      </c>
      <c r="AD1" s="316" t="s">
        <v>482</v>
      </c>
      <c r="AE1" s="316" t="s">
        <v>482</v>
      </c>
      <c r="AF1" s="316" t="s">
        <v>482</v>
      </c>
      <c r="AG1" s="316" t="s">
        <v>482</v>
      </c>
      <c r="AH1" s="316" t="s">
        <v>482</v>
      </c>
    </row>
    <row r="2" spans="1:35" s="380" customFormat="1" ht="54.75" x14ac:dyDescent="0.2">
      <c r="A2" s="382"/>
      <c r="B2" s="306" t="s">
        <v>484</v>
      </c>
      <c r="C2" s="306" t="s">
        <v>486</v>
      </c>
      <c r="D2" s="306" t="s">
        <v>487</v>
      </c>
      <c r="E2" s="306" t="s">
        <v>485</v>
      </c>
      <c r="F2" s="306" t="s">
        <v>205</v>
      </c>
      <c r="G2" s="306" t="s">
        <v>488</v>
      </c>
      <c r="H2" s="306" t="s">
        <v>489</v>
      </c>
      <c r="I2" s="306" t="s">
        <v>481</v>
      </c>
      <c r="J2" s="306" t="s">
        <v>483</v>
      </c>
      <c r="K2" s="306" t="s">
        <v>490</v>
      </c>
      <c r="L2" s="306" t="s">
        <v>768</v>
      </c>
      <c r="M2" s="306" t="s">
        <v>491</v>
      </c>
      <c r="N2" s="306" t="s">
        <v>492</v>
      </c>
      <c r="O2" s="306" t="s">
        <v>493</v>
      </c>
      <c r="P2" s="306" t="s">
        <v>494</v>
      </c>
      <c r="Q2" s="306" t="s">
        <v>100</v>
      </c>
      <c r="R2" s="306" t="s">
        <v>495</v>
      </c>
      <c r="S2" s="306" t="s">
        <v>496</v>
      </c>
      <c r="T2" s="306" t="s">
        <v>767</v>
      </c>
      <c r="U2" s="306" t="s">
        <v>497</v>
      </c>
      <c r="V2" s="306" t="s">
        <v>498</v>
      </c>
      <c r="W2" s="306" t="s">
        <v>499</v>
      </c>
      <c r="X2" s="306" t="s">
        <v>500</v>
      </c>
      <c r="Y2" s="306" t="s">
        <v>501</v>
      </c>
      <c r="Z2" s="306" t="s">
        <v>502</v>
      </c>
      <c r="AA2" s="306" t="s">
        <v>766</v>
      </c>
      <c r="AB2" s="306" t="s">
        <v>503</v>
      </c>
      <c r="AC2" s="306" t="s">
        <v>504</v>
      </c>
      <c r="AD2" s="306" t="s">
        <v>505</v>
      </c>
      <c r="AE2" s="306" t="s">
        <v>506</v>
      </c>
      <c r="AF2" s="306" t="s">
        <v>507</v>
      </c>
      <c r="AG2" s="306" t="s">
        <v>508</v>
      </c>
      <c r="AH2" s="306" t="s">
        <v>509</v>
      </c>
      <c r="AI2" s="320"/>
    </row>
    <row r="3" spans="1:35" s="139" customFormat="1" x14ac:dyDescent="0.2">
      <c r="A3" s="383"/>
      <c r="B3" s="287" t="str">
        <f>_xlfn.CONCAT(C3,"-","RVW.",D3,".",E3)</f>
        <v>TEST.001-RVW.1.1</v>
      </c>
      <c r="C3" s="287" t="s">
        <v>510</v>
      </c>
      <c r="D3" s="287">
        <v>1</v>
      </c>
      <c r="E3" s="287">
        <v>1</v>
      </c>
      <c r="F3" s="308" t="s">
        <v>511</v>
      </c>
      <c r="G3" s="309" t="s">
        <v>33</v>
      </c>
      <c r="H3" s="309"/>
      <c r="I3" s="310" t="str">
        <f>_xlfn.CONCAT(F3:H3)</f>
        <v>Applicant.Fire</v>
      </c>
      <c r="J3" s="285" t="str">
        <f>Details!A204</f>
        <v>No</v>
      </c>
      <c r="K3" s="286" t="s">
        <v>482</v>
      </c>
      <c r="L3" s="286" t="str">
        <f>IF(OR(K3="Yes",K3="No"),K3,#REF!)</f>
        <v>Yes</v>
      </c>
      <c r="M3" s="296"/>
      <c r="N3" s="139" t="s">
        <v>512</v>
      </c>
      <c r="P3" s="311"/>
      <c r="Q3" s="287" t="s">
        <v>513</v>
      </c>
      <c r="R3" s="312"/>
      <c r="S3" s="312"/>
      <c r="T3" s="312"/>
      <c r="U3" s="312"/>
      <c r="V3" s="312"/>
      <c r="W3" s="312"/>
      <c r="X3" s="297" t="s">
        <v>514</v>
      </c>
      <c r="Y3" s="288">
        <v>45167.333333333336</v>
      </c>
      <c r="Z3" s="298"/>
      <c r="AA3" s="298"/>
      <c r="AB3" s="288"/>
      <c r="AC3" s="298"/>
      <c r="AD3" s="288"/>
      <c r="AE3" s="298"/>
      <c r="AF3" s="297" t="s">
        <v>514</v>
      </c>
      <c r="AG3" s="288">
        <v>45167.333333333336</v>
      </c>
      <c r="AH3" s="299">
        <v>45167.333333333336</v>
      </c>
    </row>
    <row r="4" spans="1:35" s="139" customFormat="1" x14ac:dyDescent="0.2">
      <c r="A4" s="383"/>
      <c r="B4" s="287" t="str">
        <f t="shared" ref="B4:B34" si="0">_xlfn.CONCAT(C4,"-","RVW.",D4,".",E4)</f>
        <v>TEST.001-RVW.1.2</v>
      </c>
      <c r="C4" s="287" t="str">
        <f t="shared" ref="C4:C33" si="1">$C$3</f>
        <v>TEST.001</v>
      </c>
      <c r="D4" s="287">
        <v>1</v>
      </c>
      <c r="E4" s="287">
        <f>COUNT($E$3:E3)+1</f>
        <v>2</v>
      </c>
      <c r="F4" s="308" t="s">
        <v>511</v>
      </c>
      <c r="G4" s="309" t="s">
        <v>515</v>
      </c>
      <c r="H4" s="309"/>
      <c r="I4" s="310" t="str">
        <f t="shared" ref="I4:I34" si="2">_xlfn.CONCAT(F4:H4)</f>
        <v>Applicant.FSA</v>
      </c>
      <c r="J4" s="285" t="str">
        <f>Details!A205</f>
        <v>No</v>
      </c>
      <c r="K4" s="286" t="s">
        <v>482</v>
      </c>
      <c r="L4" s="286" t="str">
        <f>IF(OR(K4="Yes",K4="No"),K4,J3)</f>
        <v>Yes</v>
      </c>
      <c r="M4" s="296"/>
      <c r="N4" s="139" t="s">
        <v>512</v>
      </c>
      <c r="P4" s="311"/>
      <c r="Q4" s="287" t="s">
        <v>513</v>
      </c>
      <c r="R4" s="312"/>
      <c r="S4" s="312"/>
      <c r="T4" s="312"/>
      <c r="U4" s="312"/>
      <c r="V4" s="312"/>
      <c r="W4" s="312"/>
      <c r="X4" s="297" t="s">
        <v>514</v>
      </c>
      <c r="Y4" s="288">
        <v>45167.333333333336</v>
      </c>
      <c r="Z4" s="298"/>
      <c r="AA4" s="298"/>
      <c r="AB4" s="288"/>
      <c r="AC4" s="298"/>
      <c r="AD4" s="288"/>
      <c r="AE4" s="298"/>
      <c r="AF4" s="297" t="s">
        <v>514</v>
      </c>
      <c r="AG4" s="288">
        <v>45167.333333333336</v>
      </c>
      <c r="AH4" s="299">
        <v>45167.333333333336</v>
      </c>
    </row>
    <row r="5" spans="1:35" s="139" customFormat="1" x14ac:dyDescent="0.2">
      <c r="A5" s="383"/>
      <c r="B5" s="287" t="str">
        <f t="shared" si="0"/>
        <v>TEST.001-RVW.1.3</v>
      </c>
      <c r="C5" s="287" t="str">
        <f t="shared" si="1"/>
        <v>TEST.001</v>
      </c>
      <c r="D5" s="287">
        <v>1</v>
      </c>
      <c r="E5" s="287">
        <f>COUNT($E$3:E4)+1</f>
        <v>3</v>
      </c>
      <c r="F5" s="308" t="s">
        <v>511</v>
      </c>
      <c r="G5" s="309" t="s">
        <v>516</v>
      </c>
      <c r="H5" s="309"/>
      <c r="I5" s="310" t="str">
        <f t="shared" si="2"/>
        <v>Applicant.School</v>
      </c>
      <c r="J5" s="285" t="str">
        <f>Details!A206</f>
        <v>No</v>
      </c>
      <c r="K5" s="286" t="s">
        <v>482</v>
      </c>
      <c r="L5" s="286" t="str">
        <f>IF(OR(K5="Yes",K5="No"),K5,J4)</f>
        <v>Yes</v>
      </c>
      <c r="M5" s="296"/>
      <c r="N5" s="139" t="s">
        <v>512</v>
      </c>
      <c r="P5" s="311"/>
      <c r="Q5" s="287" t="s">
        <v>513</v>
      </c>
      <c r="R5" s="312"/>
      <c r="S5" s="312"/>
      <c r="T5" s="312"/>
      <c r="U5" s="312"/>
      <c r="V5" s="312"/>
      <c r="W5" s="312"/>
      <c r="X5" s="297" t="s">
        <v>514</v>
      </c>
      <c r="Y5" s="288">
        <v>45167.333333333336</v>
      </c>
      <c r="Z5" s="298"/>
      <c r="AA5" s="298"/>
      <c r="AB5" s="288"/>
      <c r="AC5" s="298"/>
      <c r="AD5" s="288"/>
      <c r="AE5" s="298"/>
      <c r="AF5" s="297" t="s">
        <v>514</v>
      </c>
      <c r="AG5" s="288">
        <v>45167.333333333336</v>
      </c>
      <c r="AH5" s="299">
        <v>45167.333333333336</v>
      </c>
    </row>
    <row r="6" spans="1:35" s="139" customFormat="1" x14ac:dyDescent="0.2">
      <c r="A6" s="383"/>
      <c r="B6" s="287" t="str">
        <f t="shared" si="0"/>
        <v>TEST.001-RVW.1.4</v>
      </c>
      <c r="C6" s="287" t="str">
        <f t="shared" si="1"/>
        <v>TEST.001</v>
      </c>
      <c r="D6" s="290">
        <v>1</v>
      </c>
      <c r="E6" s="287">
        <f>COUNT($E$3:E5)+1</f>
        <v>4</v>
      </c>
      <c r="F6" s="308" t="s">
        <v>517</v>
      </c>
      <c r="G6" s="309" t="s">
        <v>181</v>
      </c>
      <c r="H6" s="309"/>
      <c r="I6" s="310" t="str">
        <f t="shared" si="2"/>
        <v>District.Air</v>
      </c>
      <c r="J6" s="285" t="str">
        <f>Details!A207</f>
        <v>No</v>
      </c>
      <c r="K6" s="286" t="s">
        <v>482</v>
      </c>
      <c r="L6" s="286" t="str">
        <f>IF(OR(K6="Yes",K6="No"),K6,J5)</f>
        <v>Yes</v>
      </c>
      <c r="M6" s="291"/>
      <c r="N6" s="313" t="s">
        <v>184</v>
      </c>
      <c r="O6" s="140">
        <v>10</v>
      </c>
      <c r="P6" s="140">
        <v>3</v>
      </c>
      <c r="Q6" s="287" t="s">
        <v>513</v>
      </c>
      <c r="R6" s="314">
        <v>0.5</v>
      </c>
      <c r="S6" s="314"/>
      <c r="T6" s="314">
        <f t="shared" ref="T6:T26" si="3">IF(S6&lt;&gt;0,S6-R6,0)</f>
        <v>0</v>
      </c>
      <c r="U6" s="312">
        <v>150</v>
      </c>
      <c r="V6" s="312">
        <f t="shared" ref="V6:V26" si="4">U6*R6</f>
        <v>75</v>
      </c>
      <c r="W6" s="312">
        <f>V6+U6*T6</f>
        <v>75</v>
      </c>
      <c r="X6" s="292" t="s">
        <v>514</v>
      </c>
      <c r="Y6" s="288">
        <v>45167.333333333336</v>
      </c>
      <c r="Z6" s="292" t="s">
        <v>514</v>
      </c>
      <c r="AA6" s="294">
        <f ca="1">NETWORKDAYS(TODAY(),AB6)</f>
        <v>2</v>
      </c>
      <c r="AB6" s="293">
        <f>IF(D6=1,WORKDAY(AD6,O6),WORKDAY(AD6,P6))</f>
        <v>45181</v>
      </c>
      <c r="AC6" s="292" t="s">
        <v>514</v>
      </c>
      <c r="AD6" s="293">
        <v>45167.333333333336</v>
      </c>
      <c r="AE6" s="294">
        <f t="shared" ref="AE6:AE34" ca="1" si="5">TODAY()-AD6</f>
        <v>11.666666666664241</v>
      </c>
      <c r="AF6" s="292" t="s">
        <v>514</v>
      </c>
      <c r="AG6" s="288">
        <v>45167.333333333336</v>
      </c>
      <c r="AH6" s="295">
        <v>45167.333333333336</v>
      </c>
    </row>
    <row r="7" spans="1:35" s="139" customFormat="1" x14ac:dyDescent="0.2">
      <c r="A7" s="383"/>
      <c r="B7" s="287" t="str">
        <f t="shared" si="0"/>
        <v>TEST.001-RVW.1.5</v>
      </c>
      <c r="C7" s="287" t="str">
        <f t="shared" si="1"/>
        <v>TEST.001</v>
      </c>
      <c r="D7" s="287">
        <v>1</v>
      </c>
      <c r="E7" s="287">
        <f>COUNT($E$3:E6)+1</f>
        <v>5</v>
      </c>
      <c r="F7" s="308" t="s">
        <v>517</v>
      </c>
      <c r="G7" s="309" t="s">
        <v>33</v>
      </c>
      <c r="H7" s="309"/>
      <c r="I7" s="310" t="str">
        <f t="shared" si="2"/>
        <v>District.Fire</v>
      </c>
      <c r="J7" s="285" t="str">
        <f>Details!A208</f>
        <v>No</v>
      </c>
      <c r="K7" s="286" t="s">
        <v>482</v>
      </c>
      <c r="L7" s="286" t="str">
        <f>IF(OR(K7="Yes",K7="No"),K7,J6)</f>
        <v>Yes</v>
      </c>
      <c r="M7" s="296"/>
      <c r="N7" s="313" t="s">
        <v>200</v>
      </c>
      <c r="O7" s="140">
        <v>10</v>
      </c>
      <c r="P7" s="140">
        <v>3</v>
      </c>
      <c r="Q7" s="287" t="s">
        <v>513</v>
      </c>
      <c r="R7" s="314">
        <v>0.5</v>
      </c>
      <c r="S7" s="314"/>
      <c r="T7" s="314">
        <f t="shared" si="3"/>
        <v>0</v>
      </c>
      <c r="U7" s="312">
        <v>150</v>
      </c>
      <c r="V7" s="312">
        <f t="shared" si="4"/>
        <v>75</v>
      </c>
      <c r="W7" s="312">
        <f t="shared" ref="W7:W26" si="6">V7+U7*T7</f>
        <v>75</v>
      </c>
      <c r="X7" s="297" t="s">
        <v>514</v>
      </c>
      <c r="Y7" s="288">
        <v>45167.333333333336</v>
      </c>
      <c r="Z7" s="297" t="s">
        <v>514</v>
      </c>
      <c r="AA7" s="298">
        <f t="shared" ref="AA7:AA34" ca="1" si="7">NETWORKDAYS(TODAY(),AB7)</f>
        <v>2</v>
      </c>
      <c r="AB7" s="288">
        <f>IF(D7=1,WORKDAY(AD7,O7),WORKDAY(AD7,P7))</f>
        <v>45181</v>
      </c>
      <c r="AC7" s="297" t="s">
        <v>514</v>
      </c>
      <c r="AD7" s="288">
        <v>45167.333333333336</v>
      </c>
      <c r="AE7" s="298">
        <f t="shared" ca="1" si="5"/>
        <v>11.666666666664241</v>
      </c>
      <c r="AF7" s="297" t="s">
        <v>514</v>
      </c>
      <c r="AG7" s="288">
        <v>45167.333333333336</v>
      </c>
      <c r="AH7" s="299">
        <v>45167.333333333336</v>
      </c>
    </row>
    <row r="8" spans="1:35" s="139" customFormat="1" x14ac:dyDescent="0.2">
      <c r="A8" s="383"/>
      <c r="B8" s="287" t="str">
        <f t="shared" si="0"/>
        <v>TEST.001-RVW.1.6</v>
      </c>
      <c r="C8" s="287" t="str">
        <f t="shared" si="1"/>
        <v>TEST.001</v>
      </c>
      <c r="D8" s="287">
        <v>1</v>
      </c>
      <c r="E8" s="287">
        <f>COUNT($E$3:E7)+1</f>
        <v>6</v>
      </c>
      <c r="F8" s="308" t="s">
        <v>517</v>
      </c>
      <c r="G8" s="309" t="s">
        <v>265</v>
      </c>
      <c r="H8" s="309"/>
      <c r="I8" s="310" t="str">
        <f t="shared" si="2"/>
        <v>District.CSD/CSA</v>
      </c>
      <c r="J8" s="285" t="str">
        <f>Details!A209</f>
        <v>No</v>
      </c>
      <c r="K8" s="286" t="s">
        <v>482</v>
      </c>
      <c r="L8" s="286" t="str">
        <f>IF(OR(K8="Yes",K8="No"),K8,J7)</f>
        <v>Yes</v>
      </c>
      <c r="M8" s="296"/>
      <c r="N8" s="313" t="s">
        <v>195</v>
      </c>
      <c r="O8" s="140">
        <v>10</v>
      </c>
      <c r="P8" s="140">
        <v>3</v>
      </c>
      <c r="Q8" s="287" t="s">
        <v>513</v>
      </c>
      <c r="R8" s="315">
        <v>0.5</v>
      </c>
      <c r="S8" s="315"/>
      <c r="T8" s="315">
        <f t="shared" si="3"/>
        <v>0</v>
      </c>
      <c r="U8" s="312">
        <v>150</v>
      </c>
      <c r="V8" s="312">
        <f t="shared" si="4"/>
        <v>75</v>
      </c>
      <c r="W8" s="312">
        <f t="shared" si="6"/>
        <v>75</v>
      </c>
      <c r="X8" s="297" t="s">
        <v>514</v>
      </c>
      <c r="Y8" s="288">
        <v>45167.333333333336</v>
      </c>
      <c r="Z8" s="297" t="s">
        <v>514</v>
      </c>
      <c r="AA8" s="298">
        <f t="shared" ca="1" si="7"/>
        <v>2</v>
      </c>
      <c r="AB8" s="288">
        <f>IF(D8=1,WORKDAY(AD8,O8),WORKDAY(AD8,P8))</f>
        <v>45181</v>
      </c>
      <c r="AC8" s="297" t="s">
        <v>514</v>
      </c>
      <c r="AD8" s="288">
        <v>45167.333333333336</v>
      </c>
      <c r="AE8" s="298">
        <f t="shared" ca="1" si="5"/>
        <v>11.666666666664241</v>
      </c>
      <c r="AF8" s="297" t="s">
        <v>514</v>
      </c>
      <c r="AG8" s="288">
        <v>45167.333333333336</v>
      </c>
      <c r="AH8" s="299">
        <v>45167.333333333336</v>
      </c>
    </row>
    <row r="9" spans="1:35" s="139" customFormat="1" x14ac:dyDescent="0.2">
      <c r="A9" s="383"/>
      <c r="B9" s="287" t="str">
        <f t="shared" si="0"/>
        <v>TEST.001-RVW.1.7</v>
      </c>
      <c r="C9" s="287" t="str">
        <f t="shared" si="1"/>
        <v>TEST.001</v>
      </c>
      <c r="D9" s="290">
        <v>1</v>
      </c>
      <c r="E9" s="287">
        <f>COUNT($E$3:E8)+1</f>
        <v>7</v>
      </c>
      <c r="F9" s="308" t="s">
        <v>518</v>
      </c>
      <c r="G9" s="309" t="s">
        <v>519</v>
      </c>
      <c r="H9" s="309" t="s">
        <v>520</v>
      </c>
      <c r="I9" s="310" t="str">
        <f t="shared" si="2"/>
        <v>DCS.Bldg.Full</v>
      </c>
      <c r="J9" s="285" t="str">
        <f>Details!A210</f>
        <v>No</v>
      </c>
      <c r="K9" s="286" t="s">
        <v>482</v>
      </c>
      <c r="L9" s="286" t="str">
        <f>IF(OR(K9="Yes",K9="No"),K9,J8)</f>
        <v>Yes</v>
      </c>
      <c r="M9" s="291"/>
      <c r="N9" s="313" t="s">
        <v>200</v>
      </c>
      <c r="O9" s="140">
        <v>10</v>
      </c>
      <c r="P9" s="140">
        <v>3</v>
      </c>
      <c r="Q9" s="287" t="s">
        <v>513</v>
      </c>
      <c r="R9" s="314">
        <v>0.5</v>
      </c>
      <c r="S9" s="314"/>
      <c r="T9" s="314">
        <f t="shared" si="3"/>
        <v>0</v>
      </c>
      <c r="U9" s="312">
        <v>150</v>
      </c>
      <c r="V9" s="312">
        <f t="shared" si="4"/>
        <v>75</v>
      </c>
      <c r="W9" s="312">
        <f t="shared" si="6"/>
        <v>75</v>
      </c>
      <c r="X9" s="292" t="s">
        <v>514</v>
      </c>
      <c r="Y9" s="288">
        <v>45167.333333333336</v>
      </c>
      <c r="Z9" s="292" t="s">
        <v>514</v>
      </c>
      <c r="AA9" s="294">
        <f t="shared" ca="1" si="7"/>
        <v>2</v>
      </c>
      <c r="AB9" s="293">
        <f>IF(D9=1,WORKDAY(AD9,O9),WORKDAY(AD9,P9))</f>
        <v>45181</v>
      </c>
      <c r="AC9" s="292" t="s">
        <v>514</v>
      </c>
      <c r="AD9" s="293">
        <v>45167.333333333336</v>
      </c>
      <c r="AE9" s="294">
        <f t="shared" ca="1" si="5"/>
        <v>11.666666666664241</v>
      </c>
      <c r="AF9" s="292" t="s">
        <v>514</v>
      </c>
      <c r="AG9" s="288">
        <v>45167.333333333336</v>
      </c>
      <c r="AH9" s="295">
        <v>45167.333333333336</v>
      </c>
    </row>
    <row r="10" spans="1:35" s="139" customFormat="1" x14ac:dyDescent="0.2">
      <c r="A10" s="383"/>
      <c r="B10" s="287" t="str">
        <f t="shared" si="0"/>
        <v>TEST.001-RVW.1.8</v>
      </c>
      <c r="C10" s="287" t="str">
        <f t="shared" si="1"/>
        <v>TEST.001</v>
      </c>
      <c r="D10" s="290">
        <v>1</v>
      </c>
      <c r="E10" s="287">
        <f>COUNT($E$3:E9)+1</f>
        <v>8</v>
      </c>
      <c r="F10" s="308" t="s">
        <v>518</v>
      </c>
      <c r="G10" s="309" t="s">
        <v>519</v>
      </c>
      <c r="H10" s="309" t="s">
        <v>521</v>
      </c>
      <c r="I10" s="310" t="str">
        <f t="shared" si="2"/>
        <v>DCS.Bldg.Accessibility</v>
      </c>
      <c r="J10" s="285" t="str">
        <f>Details!A211</f>
        <v>Yes</v>
      </c>
      <c r="K10" s="286" t="s">
        <v>482</v>
      </c>
      <c r="L10" s="286" t="str">
        <f>IF(OR(K10="Yes",K10="No"),K10,J9)</f>
        <v>Yes</v>
      </c>
      <c r="M10" s="291"/>
      <c r="N10" s="313" t="s">
        <v>200</v>
      </c>
      <c r="O10" s="140">
        <v>10</v>
      </c>
      <c r="P10" s="140">
        <v>3</v>
      </c>
      <c r="Q10" s="287" t="s">
        <v>513</v>
      </c>
      <c r="R10" s="314">
        <v>0.5</v>
      </c>
      <c r="S10" s="314"/>
      <c r="T10" s="314">
        <f t="shared" si="3"/>
        <v>0</v>
      </c>
      <c r="U10" s="312">
        <v>150</v>
      </c>
      <c r="V10" s="312">
        <f t="shared" si="4"/>
        <v>75</v>
      </c>
      <c r="W10" s="312">
        <f t="shared" si="6"/>
        <v>75</v>
      </c>
      <c r="X10" s="292" t="s">
        <v>514</v>
      </c>
      <c r="Y10" s="288">
        <v>45167.333333333336</v>
      </c>
      <c r="Z10" s="292" t="s">
        <v>514</v>
      </c>
      <c r="AA10" s="294">
        <f t="shared" ca="1" si="7"/>
        <v>2</v>
      </c>
      <c r="AB10" s="293">
        <f>IF(D10=1,WORKDAY(AD10,O10),WORKDAY(AD10,P10))</f>
        <v>45181</v>
      </c>
      <c r="AC10" s="292" t="s">
        <v>514</v>
      </c>
      <c r="AD10" s="293">
        <v>45167.333333333336</v>
      </c>
      <c r="AE10" s="294">
        <f t="shared" ca="1" si="5"/>
        <v>11.666666666664241</v>
      </c>
      <c r="AF10" s="292" t="s">
        <v>514</v>
      </c>
      <c r="AG10" s="288">
        <v>45167.333333333336</v>
      </c>
      <c r="AH10" s="295">
        <v>45167.333333333336</v>
      </c>
    </row>
    <row r="11" spans="1:35" s="139" customFormat="1" x14ac:dyDescent="0.2">
      <c r="A11" s="383"/>
      <c r="B11" s="287" t="str">
        <f t="shared" si="0"/>
        <v>TEST.001-RVW.1.9</v>
      </c>
      <c r="C11" s="287" t="str">
        <f t="shared" si="1"/>
        <v>TEST.001</v>
      </c>
      <c r="D11" s="287">
        <v>1</v>
      </c>
      <c r="E11" s="287">
        <f>COUNT($E$3:E10)+1</f>
        <v>9</v>
      </c>
      <c r="F11" s="308" t="s">
        <v>518</v>
      </c>
      <c r="G11" s="309" t="s">
        <v>519</v>
      </c>
      <c r="H11" s="309" t="s">
        <v>522</v>
      </c>
      <c r="I11" s="310" t="str">
        <f t="shared" si="2"/>
        <v>DCS.Bldg.Addressing</v>
      </c>
      <c r="J11" s="285" t="str">
        <f>Details!A212</f>
        <v>No</v>
      </c>
      <c r="K11" s="286" t="s">
        <v>482</v>
      </c>
      <c r="L11" s="286" t="str">
        <f>IF(OR(K11="Yes",K11="No"),K11,J10)</f>
        <v>Yes</v>
      </c>
      <c r="M11" s="296"/>
      <c r="N11" s="313" t="s">
        <v>195</v>
      </c>
      <c r="O11" s="140">
        <v>3</v>
      </c>
      <c r="P11" s="140">
        <v>3</v>
      </c>
      <c r="Q11" s="287" t="s">
        <v>513</v>
      </c>
      <c r="R11" s="314">
        <v>0.5</v>
      </c>
      <c r="S11" s="314"/>
      <c r="T11" s="314">
        <f t="shared" si="3"/>
        <v>0</v>
      </c>
      <c r="U11" s="312">
        <v>150</v>
      </c>
      <c r="V11" s="312">
        <f t="shared" si="4"/>
        <v>75</v>
      </c>
      <c r="W11" s="312">
        <f t="shared" si="6"/>
        <v>75</v>
      </c>
      <c r="X11" s="297" t="s">
        <v>514</v>
      </c>
      <c r="Y11" s="288">
        <v>45167.333333333336</v>
      </c>
      <c r="Z11" s="297" t="s">
        <v>514</v>
      </c>
      <c r="AA11" s="298">
        <f t="shared" ca="1" si="7"/>
        <v>-6</v>
      </c>
      <c r="AB11" s="288">
        <f>IF(D11=1,WORKDAY(AD11,O11),WORKDAY(AD11,P11))</f>
        <v>45170</v>
      </c>
      <c r="AC11" s="297" t="s">
        <v>514</v>
      </c>
      <c r="AD11" s="288">
        <v>45167.333333333336</v>
      </c>
      <c r="AE11" s="298">
        <f t="shared" ca="1" si="5"/>
        <v>11.666666666664241</v>
      </c>
      <c r="AF11" s="297" t="s">
        <v>514</v>
      </c>
      <c r="AG11" s="288">
        <v>45167.333333333336</v>
      </c>
      <c r="AH11" s="299">
        <v>45167.333333333336</v>
      </c>
    </row>
    <row r="12" spans="1:35" s="139" customFormat="1" x14ac:dyDescent="0.2">
      <c r="A12" s="383"/>
      <c r="B12" s="287" t="str">
        <f t="shared" si="0"/>
        <v>TEST.001-RVW.1.10</v>
      </c>
      <c r="C12" s="287" t="str">
        <f t="shared" si="1"/>
        <v>TEST.001</v>
      </c>
      <c r="D12" s="287">
        <v>1</v>
      </c>
      <c r="E12" s="287">
        <f>COUNT($E$3:E11)+1</f>
        <v>10</v>
      </c>
      <c r="F12" s="308" t="s">
        <v>518</v>
      </c>
      <c r="G12" s="309" t="s">
        <v>519</v>
      </c>
      <c r="H12" s="309" t="s">
        <v>523</v>
      </c>
      <c r="I12" s="310" t="str">
        <f t="shared" si="2"/>
        <v>DCS.Bldg.AgExempt</v>
      </c>
      <c r="J12" s="285" t="str">
        <f>Details!A213</f>
        <v>No</v>
      </c>
      <c r="K12" s="286" t="s">
        <v>482</v>
      </c>
      <c r="L12" s="286" t="str">
        <f>IF(OR(K12="Yes",K12="No"),K12,J11)</f>
        <v>Yes</v>
      </c>
      <c r="M12" s="296"/>
      <c r="N12" s="313" t="s">
        <v>195</v>
      </c>
      <c r="O12" s="140">
        <v>10</v>
      </c>
      <c r="P12" s="140">
        <v>3</v>
      </c>
      <c r="Q12" s="287" t="s">
        <v>513</v>
      </c>
      <c r="R12" s="314">
        <v>0.5</v>
      </c>
      <c r="S12" s="314">
        <v>1.5</v>
      </c>
      <c r="T12" s="314">
        <f t="shared" si="3"/>
        <v>1</v>
      </c>
      <c r="U12" s="312">
        <v>150</v>
      </c>
      <c r="V12" s="312">
        <f t="shared" si="4"/>
        <v>75</v>
      </c>
      <c r="W12" s="312">
        <f t="shared" si="6"/>
        <v>225</v>
      </c>
      <c r="X12" s="297" t="s">
        <v>514</v>
      </c>
      <c r="Y12" s="288">
        <v>45167.333333333336</v>
      </c>
      <c r="Z12" s="297" t="s">
        <v>514</v>
      </c>
      <c r="AA12" s="298">
        <f t="shared" ca="1" si="7"/>
        <v>-9</v>
      </c>
      <c r="AB12" s="288">
        <f>IF(D12=1,WORKDAY(AD12,O12),WORKDAY(AD12,P12))</f>
        <v>45167</v>
      </c>
      <c r="AC12" s="297" t="s">
        <v>514</v>
      </c>
      <c r="AD12" s="288">
        <v>45153.333333333336</v>
      </c>
      <c r="AE12" s="298">
        <f t="shared" ca="1" si="5"/>
        <v>25.666666666664241</v>
      </c>
      <c r="AF12" s="297" t="s">
        <v>514</v>
      </c>
      <c r="AG12" s="288">
        <v>45167.333333333336</v>
      </c>
      <c r="AH12" s="299">
        <v>45167.333333333336</v>
      </c>
    </row>
    <row r="13" spans="1:35" s="139" customFormat="1" x14ac:dyDescent="0.2">
      <c r="A13" s="383"/>
      <c r="B13" s="287" t="str">
        <f t="shared" si="0"/>
        <v>TEST.001-RVW.1.11</v>
      </c>
      <c r="C13" s="287" t="str">
        <f t="shared" si="1"/>
        <v>TEST.001</v>
      </c>
      <c r="D13" s="287">
        <v>1</v>
      </c>
      <c r="E13" s="287">
        <f>COUNT($E$3:E12)+1</f>
        <v>11</v>
      </c>
      <c r="F13" s="308" t="s">
        <v>518</v>
      </c>
      <c r="G13" s="309" t="s">
        <v>519</v>
      </c>
      <c r="H13" s="309" t="s">
        <v>524</v>
      </c>
      <c r="I13" s="310" t="str">
        <f t="shared" si="2"/>
        <v>DCS.Bldg.Architectural</v>
      </c>
      <c r="J13" s="285" t="str">
        <f>Details!A214</f>
        <v>Yes</v>
      </c>
      <c r="K13" s="286" t="s">
        <v>482</v>
      </c>
      <c r="L13" s="286" t="str">
        <f>IF(OR(K13="Yes",K13="No"),K13,J12)</f>
        <v>Yes</v>
      </c>
      <c r="M13" s="296"/>
      <c r="N13" s="313" t="s">
        <v>200</v>
      </c>
      <c r="O13" s="140">
        <v>10</v>
      </c>
      <c r="P13" s="140">
        <v>3</v>
      </c>
      <c r="Q13" s="287" t="s">
        <v>513</v>
      </c>
      <c r="R13" s="314">
        <v>0.5</v>
      </c>
      <c r="S13" s="314"/>
      <c r="T13" s="314">
        <f t="shared" si="3"/>
        <v>0</v>
      </c>
      <c r="U13" s="312">
        <v>150</v>
      </c>
      <c r="V13" s="312">
        <f t="shared" si="4"/>
        <v>75</v>
      </c>
      <c r="W13" s="312">
        <f t="shared" si="6"/>
        <v>75</v>
      </c>
      <c r="X13" s="297" t="s">
        <v>514</v>
      </c>
      <c r="Y13" s="288">
        <v>45167.333333333336</v>
      </c>
      <c r="Z13" s="297" t="s">
        <v>514</v>
      </c>
      <c r="AA13" s="298">
        <f t="shared" ca="1" si="7"/>
        <v>2</v>
      </c>
      <c r="AB13" s="288">
        <f>IF(D13=1,WORKDAY(AD13,O13),WORKDAY(AD13,P13))</f>
        <v>45181</v>
      </c>
      <c r="AC13" s="297" t="s">
        <v>514</v>
      </c>
      <c r="AD13" s="288">
        <v>45167.333333333336</v>
      </c>
      <c r="AE13" s="298">
        <f t="shared" ca="1" si="5"/>
        <v>11.666666666664241</v>
      </c>
      <c r="AF13" s="297" t="s">
        <v>514</v>
      </c>
      <c r="AG13" s="288">
        <v>45167.333333333336</v>
      </c>
      <c r="AH13" s="299">
        <v>45167.333333333336</v>
      </c>
    </row>
    <row r="14" spans="1:35" s="139" customFormat="1" x14ac:dyDescent="0.2">
      <c r="A14" s="383"/>
      <c r="B14" s="287" t="str">
        <f t="shared" si="0"/>
        <v>TEST.001-RVW.1.12</v>
      </c>
      <c r="C14" s="287" t="str">
        <f t="shared" si="1"/>
        <v>TEST.001</v>
      </c>
      <c r="D14" s="287">
        <v>1</v>
      </c>
      <c r="E14" s="287">
        <f>COUNT($E$3:E13)+1</f>
        <v>12</v>
      </c>
      <c r="F14" s="308" t="s">
        <v>518</v>
      </c>
      <c r="G14" s="309" t="s">
        <v>519</v>
      </c>
      <c r="H14" s="309" t="s">
        <v>525</v>
      </c>
      <c r="I14" s="310" t="str">
        <f t="shared" si="2"/>
        <v>DCS.Bldg.CC/MH/THOW</v>
      </c>
      <c r="J14" s="285" t="str">
        <f>Details!A215</f>
        <v>Yes</v>
      </c>
      <c r="K14" s="286" t="s">
        <v>482</v>
      </c>
      <c r="L14" s="286" t="str">
        <f>IF(OR(K14="Yes",K14="No"),K14,J13)</f>
        <v>Yes</v>
      </c>
      <c r="M14" s="296"/>
      <c r="N14" s="313" t="s">
        <v>195</v>
      </c>
      <c r="O14" s="140">
        <v>10</v>
      </c>
      <c r="P14" s="140">
        <v>3</v>
      </c>
      <c r="Q14" s="287" t="s">
        <v>513</v>
      </c>
      <c r="R14" s="314">
        <v>0.5</v>
      </c>
      <c r="S14" s="314"/>
      <c r="T14" s="314">
        <f t="shared" si="3"/>
        <v>0</v>
      </c>
      <c r="U14" s="312">
        <v>150</v>
      </c>
      <c r="V14" s="312">
        <f t="shared" si="4"/>
        <v>75</v>
      </c>
      <c r="W14" s="312">
        <f t="shared" si="6"/>
        <v>75</v>
      </c>
      <c r="X14" s="297" t="s">
        <v>514</v>
      </c>
      <c r="Y14" s="288">
        <v>45167.333333333336</v>
      </c>
      <c r="Z14" s="297" t="s">
        <v>514</v>
      </c>
      <c r="AA14" s="298">
        <f t="shared" ca="1" si="7"/>
        <v>2</v>
      </c>
      <c r="AB14" s="288">
        <f>IF(D14=1,WORKDAY(AD14,O14),WORKDAY(AD14,P14))</f>
        <v>45181</v>
      </c>
      <c r="AC14" s="297" t="s">
        <v>514</v>
      </c>
      <c r="AD14" s="288">
        <v>45167.333333333336</v>
      </c>
      <c r="AE14" s="298">
        <f t="shared" ca="1" si="5"/>
        <v>11.666666666664241</v>
      </c>
      <c r="AF14" s="297" t="s">
        <v>514</v>
      </c>
      <c r="AG14" s="288">
        <v>45167.333333333336</v>
      </c>
      <c r="AH14" s="299">
        <v>45167.333333333336</v>
      </c>
    </row>
    <row r="15" spans="1:35" s="139" customFormat="1" x14ac:dyDescent="0.2">
      <c r="A15" s="383"/>
      <c r="B15" s="287" t="str">
        <f t="shared" si="0"/>
        <v>TEST.001-RVW.1.13</v>
      </c>
      <c r="C15" s="287" t="str">
        <f t="shared" si="1"/>
        <v>TEST.001</v>
      </c>
      <c r="D15" s="287">
        <v>1</v>
      </c>
      <c r="E15" s="287">
        <f>COUNT($E$3:E14)+1</f>
        <v>13</v>
      </c>
      <c r="F15" s="308" t="s">
        <v>518</v>
      </c>
      <c r="G15" s="309" t="s">
        <v>519</v>
      </c>
      <c r="H15" s="309" t="s">
        <v>27</v>
      </c>
      <c r="I15" s="310" t="str">
        <f t="shared" si="2"/>
        <v>DCS.Bldg.Demolition</v>
      </c>
      <c r="J15" s="285" t="str">
        <f>Details!A216</f>
        <v>No</v>
      </c>
      <c r="K15" s="286" t="s">
        <v>482</v>
      </c>
      <c r="L15" s="286" t="str">
        <f>IF(OR(K15="Yes",K15="No"),K15,J14)</f>
        <v>Yes</v>
      </c>
      <c r="M15" s="296"/>
      <c r="N15" s="313" t="s">
        <v>195</v>
      </c>
      <c r="O15" s="140">
        <v>10</v>
      </c>
      <c r="P15" s="140">
        <v>3</v>
      </c>
      <c r="Q15" s="287" t="s">
        <v>513</v>
      </c>
      <c r="R15" s="314">
        <v>0.5</v>
      </c>
      <c r="S15" s="314"/>
      <c r="T15" s="314">
        <f t="shared" si="3"/>
        <v>0</v>
      </c>
      <c r="U15" s="312">
        <v>150</v>
      </c>
      <c r="V15" s="312">
        <f t="shared" si="4"/>
        <v>75</v>
      </c>
      <c r="W15" s="312">
        <f t="shared" si="6"/>
        <v>75</v>
      </c>
      <c r="X15" s="297" t="s">
        <v>514</v>
      </c>
      <c r="Y15" s="288">
        <v>45167.333333333336</v>
      </c>
      <c r="Z15" s="297" t="s">
        <v>514</v>
      </c>
      <c r="AA15" s="298">
        <f t="shared" ca="1" si="7"/>
        <v>2</v>
      </c>
      <c r="AB15" s="288">
        <f>IF(D15=1,WORKDAY(AD15,O15),WORKDAY(AD15,P15))</f>
        <v>45181</v>
      </c>
      <c r="AC15" s="297" t="s">
        <v>514</v>
      </c>
      <c r="AD15" s="288">
        <v>45167.333333333336</v>
      </c>
      <c r="AE15" s="298">
        <f t="shared" ca="1" si="5"/>
        <v>11.666666666664241</v>
      </c>
      <c r="AF15" s="297" t="s">
        <v>514</v>
      </c>
      <c r="AG15" s="288">
        <v>45167.333333333336</v>
      </c>
      <c r="AH15" s="299">
        <v>45167.333333333336</v>
      </c>
    </row>
    <row r="16" spans="1:35" s="139" customFormat="1" x14ac:dyDescent="0.2">
      <c r="A16" s="383"/>
      <c r="B16" s="287" t="str">
        <f t="shared" si="0"/>
        <v>TEST.001-RVW.1.14</v>
      </c>
      <c r="C16" s="287" t="str">
        <f t="shared" si="1"/>
        <v>TEST.001</v>
      </c>
      <c r="D16" s="287">
        <v>1</v>
      </c>
      <c r="E16" s="287">
        <f>COUNT($E$3:E15)+1</f>
        <v>14</v>
      </c>
      <c r="F16" s="308" t="s">
        <v>518</v>
      </c>
      <c r="G16" s="309" t="s">
        <v>519</v>
      </c>
      <c r="H16" s="309" t="s">
        <v>37</v>
      </c>
      <c r="I16" s="310" t="str">
        <f t="shared" si="2"/>
        <v>DCS.Bldg.Grading</v>
      </c>
      <c r="J16" s="285" t="str">
        <f>Details!A217</f>
        <v>Yes</v>
      </c>
      <c r="K16" s="286" t="s">
        <v>482</v>
      </c>
      <c r="L16" s="286" t="str">
        <f>IF(OR(K16="Yes",K16="No"),K16,J15)</f>
        <v>Yes</v>
      </c>
      <c r="M16" s="296"/>
      <c r="N16" s="313" t="s">
        <v>200</v>
      </c>
      <c r="O16" s="140">
        <v>10</v>
      </c>
      <c r="P16" s="140">
        <v>3</v>
      </c>
      <c r="Q16" s="287" t="s">
        <v>513</v>
      </c>
      <c r="R16" s="315">
        <v>0.5</v>
      </c>
      <c r="S16" s="315"/>
      <c r="T16" s="315">
        <f t="shared" si="3"/>
        <v>0</v>
      </c>
      <c r="U16" s="312">
        <v>150</v>
      </c>
      <c r="V16" s="312">
        <f t="shared" si="4"/>
        <v>75</v>
      </c>
      <c r="W16" s="312">
        <f t="shared" si="6"/>
        <v>75</v>
      </c>
      <c r="X16" s="297" t="s">
        <v>514</v>
      </c>
      <c r="Y16" s="288">
        <v>45167.333333333336</v>
      </c>
      <c r="Z16" s="297" t="s">
        <v>514</v>
      </c>
      <c r="AA16" s="298">
        <f t="shared" ca="1" si="7"/>
        <v>2</v>
      </c>
      <c r="AB16" s="288">
        <f>IF(D16=1,WORKDAY(AD16,O16),WORKDAY(AD16,P16))</f>
        <v>45181</v>
      </c>
      <c r="AC16" s="297" t="s">
        <v>514</v>
      </c>
      <c r="AD16" s="288">
        <v>45167.333333333336</v>
      </c>
      <c r="AE16" s="298">
        <f t="shared" ca="1" si="5"/>
        <v>11.666666666664241</v>
      </c>
      <c r="AF16" s="297" t="s">
        <v>514</v>
      </c>
      <c r="AG16" s="288">
        <v>45167.333333333336</v>
      </c>
      <c r="AH16" s="299">
        <v>45167.333333333336</v>
      </c>
    </row>
    <row r="17" spans="1:34" s="139" customFormat="1" x14ac:dyDescent="0.2">
      <c r="A17" s="383"/>
      <c r="B17" s="287" t="str">
        <f t="shared" si="0"/>
        <v>TEST.001-RVW.1.15</v>
      </c>
      <c r="C17" s="287" t="str">
        <f t="shared" si="1"/>
        <v>TEST.001</v>
      </c>
      <c r="D17" s="290">
        <v>1</v>
      </c>
      <c r="E17" s="287">
        <f>COUNT($E$3:E16)+1</f>
        <v>15</v>
      </c>
      <c r="F17" s="308" t="s">
        <v>518</v>
      </c>
      <c r="G17" s="309" t="s">
        <v>519</v>
      </c>
      <c r="H17" s="309" t="s">
        <v>526</v>
      </c>
      <c r="I17" s="310" t="str">
        <f t="shared" si="2"/>
        <v>DCS.Bldg.Green/Energy</v>
      </c>
      <c r="J17" s="285" t="str">
        <f>Details!A218</f>
        <v>No</v>
      </c>
      <c r="K17" s="286" t="s">
        <v>482</v>
      </c>
      <c r="L17" s="286" t="str">
        <f>IF(OR(K17="Yes",K17="No"),K17,J16)</f>
        <v>Yes</v>
      </c>
      <c r="M17" s="291"/>
      <c r="N17" s="313" t="s">
        <v>195</v>
      </c>
      <c r="O17" s="140">
        <v>10</v>
      </c>
      <c r="P17" s="140">
        <v>3</v>
      </c>
      <c r="Q17" s="287" t="s">
        <v>513</v>
      </c>
      <c r="R17" s="314">
        <v>0.5</v>
      </c>
      <c r="S17" s="314"/>
      <c r="T17" s="314">
        <f t="shared" si="3"/>
        <v>0</v>
      </c>
      <c r="U17" s="312">
        <v>150</v>
      </c>
      <c r="V17" s="312">
        <f t="shared" si="4"/>
        <v>75</v>
      </c>
      <c r="W17" s="312">
        <f t="shared" si="6"/>
        <v>75</v>
      </c>
      <c r="X17" s="292" t="s">
        <v>514</v>
      </c>
      <c r="Y17" s="288">
        <v>45167.333333333336</v>
      </c>
      <c r="Z17" s="292" t="s">
        <v>514</v>
      </c>
      <c r="AA17" s="294">
        <f t="shared" ca="1" si="7"/>
        <v>2</v>
      </c>
      <c r="AB17" s="293">
        <f>IF(D17=1,WORKDAY(AD17,O17),WORKDAY(AD17,P17))</f>
        <v>45181</v>
      </c>
      <c r="AC17" s="292" t="s">
        <v>514</v>
      </c>
      <c r="AD17" s="293">
        <v>45167.333333333336</v>
      </c>
      <c r="AE17" s="294">
        <f t="shared" ca="1" si="5"/>
        <v>11.666666666664241</v>
      </c>
      <c r="AF17" s="292" t="s">
        <v>514</v>
      </c>
      <c r="AG17" s="288">
        <v>45167.333333333336</v>
      </c>
      <c r="AH17" s="295">
        <v>45167.333333333336</v>
      </c>
    </row>
    <row r="18" spans="1:34" s="139" customFormat="1" x14ac:dyDescent="0.2">
      <c r="A18" s="383"/>
      <c r="B18" s="287" t="str">
        <f t="shared" si="0"/>
        <v>TEST.001-RVW.1.16</v>
      </c>
      <c r="C18" s="287" t="str">
        <f t="shared" si="1"/>
        <v>TEST.001</v>
      </c>
      <c r="D18" s="287">
        <v>1</v>
      </c>
      <c r="E18" s="287">
        <f>COUNT($E$3:E17)+1</f>
        <v>16</v>
      </c>
      <c r="F18" s="308" t="s">
        <v>518</v>
      </c>
      <c r="G18" s="309" t="s">
        <v>519</v>
      </c>
      <c r="H18" s="309" t="s">
        <v>31</v>
      </c>
      <c r="I18" s="310" t="str">
        <f t="shared" si="2"/>
        <v>DCS.Bldg.Electrical</v>
      </c>
      <c r="J18" s="285" t="str">
        <f>Details!A219</f>
        <v>No</v>
      </c>
      <c r="K18" s="286" t="s">
        <v>482</v>
      </c>
      <c r="L18" s="286" t="str">
        <f>IF(OR(K18="Yes",K18="No"),K18,J17)</f>
        <v>Yes</v>
      </c>
      <c r="M18" s="296"/>
      <c r="N18" s="313" t="s">
        <v>192</v>
      </c>
      <c r="O18" s="140">
        <v>10</v>
      </c>
      <c r="P18" s="140">
        <v>3</v>
      </c>
      <c r="Q18" s="287" t="s">
        <v>513</v>
      </c>
      <c r="R18" s="315">
        <v>0.5</v>
      </c>
      <c r="S18" s="315"/>
      <c r="T18" s="315">
        <f t="shared" si="3"/>
        <v>0</v>
      </c>
      <c r="U18" s="312">
        <v>150</v>
      </c>
      <c r="V18" s="312">
        <f t="shared" si="4"/>
        <v>75</v>
      </c>
      <c r="W18" s="312">
        <f t="shared" si="6"/>
        <v>75</v>
      </c>
      <c r="X18" s="297" t="s">
        <v>514</v>
      </c>
      <c r="Y18" s="288">
        <v>45167.333333333336</v>
      </c>
      <c r="Z18" s="297" t="s">
        <v>514</v>
      </c>
      <c r="AA18" s="298">
        <f t="shared" ca="1" si="7"/>
        <v>2</v>
      </c>
      <c r="AB18" s="288">
        <f>IF(D18=1,WORKDAY(AD18,O18),WORKDAY(AD18,P18))</f>
        <v>45181</v>
      </c>
      <c r="AC18" s="297" t="s">
        <v>514</v>
      </c>
      <c r="AD18" s="288">
        <v>45167.333333333336</v>
      </c>
      <c r="AE18" s="298">
        <f t="shared" ca="1" si="5"/>
        <v>11.666666666664241</v>
      </c>
      <c r="AF18" s="297" t="s">
        <v>514</v>
      </c>
      <c r="AG18" s="288">
        <v>45167.333333333336</v>
      </c>
      <c r="AH18" s="299">
        <v>45167.333333333336</v>
      </c>
    </row>
    <row r="19" spans="1:34" s="139" customFormat="1" x14ac:dyDescent="0.2">
      <c r="A19" s="383"/>
      <c r="B19" s="287" t="str">
        <f t="shared" si="0"/>
        <v>TEST.001-RVW.1.17</v>
      </c>
      <c r="C19" s="287" t="str">
        <f t="shared" si="1"/>
        <v>TEST.001</v>
      </c>
      <c r="D19" s="287">
        <v>1</v>
      </c>
      <c r="E19" s="287">
        <f>COUNT($E$3:E18)+1</f>
        <v>17</v>
      </c>
      <c r="F19" s="308" t="s">
        <v>518</v>
      </c>
      <c r="G19" s="309" t="s">
        <v>519</v>
      </c>
      <c r="H19" s="309" t="s">
        <v>527</v>
      </c>
      <c r="I19" s="310" t="str">
        <f t="shared" si="2"/>
        <v>DCS.Bldg.Fire.Alarms</v>
      </c>
      <c r="J19" s="285" t="str">
        <f>Details!A220</f>
        <v>Yes</v>
      </c>
      <c r="K19" s="286" t="s">
        <v>482</v>
      </c>
      <c r="L19" s="286" t="str">
        <f>IF(OR(K19="Yes",K19="No"),K19,J18)</f>
        <v>Yes</v>
      </c>
      <c r="M19" s="296"/>
      <c r="N19" s="313" t="s">
        <v>200</v>
      </c>
      <c r="O19" s="140">
        <v>10</v>
      </c>
      <c r="P19" s="140">
        <v>3</v>
      </c>
      <c r="Q19" s="287" t="s">
        <v>513</v>
      </c>
      <c r="R19" s="315">
        <v>0.5</v>
      </c>
      <c r="S19" s="315"/>
      <c r="T19" s="315">
        <f t="shared" si="3"/>
        <v>0</v>
      </c>
      <c r="U19" s="312">
        <v>150</v>
      </c>
      <c r="V19" s="312">
        <f t="shared" si="4"/>
        <v>75</v>
      </c>
      <c r="W19" s="312">
        <f t="shared" si="6"/>
        <v>75</v>
      </c>
      <c r="X19" s="297" t="s">
        <v>514</v>
      </c>
      <c r="Y19" s="288">
        <v>45167.333333333336</v>
      </c>
      <c r="Z19" s="297" t="s">
        <v>514</v>
      </c>
      <c r="AA19" s="298">
        <f t="shared" ca="1" si="7"/>
        <v>2</v>
      </c>
      <c r="AB19" s="288">
        <f>IF(D19=1,WORKDAY(AD19,O19),WORKDAY(AD19,P19))</f>
        <v>45181</v>
      </c>
      <c r="AC19" s="297" t="s">
        <v>514</v>
      </c>
      <c r="AD19" s="288">
        <v>45167.333333333336</v>
      </c>
      <c r="AE19" s="298">
        <f t="shared" ca="1" si="5"/>
        <v>11.666666666664241</v>
      </c>
      <c r="AF19" s="297" t="s">
        <v>514</v>
      </c>
      <c r="AG19" s="288">
        <v>45167.333333333336</v>
      </c>
      <c r="AH19" s="299">
        <v>45167.333333333336</v>
      </c>
    </row>
    <row r="20" spans="1:34" s="139" customFormat="1" x14ac:dyDescent="0.2">
      <c r="A20" s="383"/>
      <c r="B20" s="287" t="str">
        <f t="shared" si="0"/>
        <v>TEST.001-RVW.1.18</v>
      </c>
      <c r="C20" s="287" t="str">
        <f t="shared" si="1"/>
        <v>TEST.001</v>
      </c>
      <c r="D20" s="287">
        <v>1</v>
      </c>
      <c r="E20" s="287">
        <f>COUNT($E$3:E19)+1</f>
        <v>18</v>
      </c>
      <c r="F20" s="308" t="s">
        <v>518</v>
      </c>
      <c r="G20" s="309" t="s">
        <v>519</v>
      </c>
      <c r="H20" s="309" t="s">
        <v>528</v>
      </c>
      <c r="I20" s="310" t="str">
        <f t="shared" si="2"/>
        <v>DCS.Bldg.Fire.Sprinklers</v>
      </c>
      <c r="J20" s="285" t="str">
        <f>Details!A221</f>
        <v>Yes</v>
      </c>
      <c r="K20" s="286" t="s">
        <v>482</v>
      </c>
      <c r="L20" s="286" t="str">
        <f>IF(OR(K20="Yes",K20="No"),K20,J19)</f>
        <v>Yes</v>
      </c>
      <c r="M20" s="296"/>
      <c r="N20" s="313" t="s">
        <v>200</v>
      </c>
      <c r="O20" s="140">
        <v>10</v>
      </c>
      <c r="P20" s="140">
        <v>3</v>
      </c>
      <c r="Q20" s="287" t="s">
        <v>513</v>
      </c>
      <c r="R20" s="315">
        <v>0.5</v>
      </c>
      <c r="S20" s="315"/>
      <c r="T20" s="315">
        <f t="shared" si="3"/>
        <v>0</v>
      </c>
      <c r="U20" s="312">
        <v>150</v>
      </c>
      <c r="V20" s="312">
        <f t="shared" si="4"/>
        <v>75</v>
      </c>
      <c r="W20" s="312">
        <f t="shared" si="6"/>
        <v>75</v>
      </c>
      <c r="X20" s="297" t="s">
        <v>514</v>
      </c>
      <c r="Y20" s="288">
        <v>45167.333333333336</v>
      </c>
      <c r="Z20" s="297" t="s">
        <v>514</v>
      </c>
      <c r="AA20" s="298">
        <f t="shared" ca="1" si="7"/>
        <v>2</v>
      </c>
      <c r="AB20" s="288">
        <f>IF(D20=1,WORKDAY(AD20,O20),WORKDAY(AD20,P20))</f>
        <v>45181</v>
      </c>
      <c r="AC20" s="297" t="s">
        <v>514</v>
      </c>
      <c r="AD20" s="288">
        <v>45167.333333333336</v>
      </c>
      <c r="AE20" s="298">
        <f t="shared" ca="1" si="5"/>
        <v>11.666666666664241</v>
      </c>
      <c r="AF20" s="297" t="s">
        <v>514</v>
      </c>
      <c r="AG20" s="288">
        <v>45167.333333333336</v>
      </c>
      <c r="AH20" s="299">
        <v>45167.333333333336</v>
      </c>
    </row>
    <row r="21" spans="1:34" s="139" customFormat="1" x14ac:dyDescent="0.2">
      <c r="A21" s="383"/>
      <c r="B21" s="287" t="str">
        <f t="shared" si="0"/>
        <v>TEST.001-RVW.1.19</v>
      </c>
      <c r="C21" s="287" t="str">
        <f t="shared" si="1"/>
        <v>TEST.001</v>
      </c>
      <c r="D21" s="287">
        <v>1</v>
      </c>
      <c r="E21" s="287">
        <f>COUNT($E$3:E20)+1</f>
        <v>19</v>
      </c>
      <c r="F21" s="308" t="s">
        <v>518</v>
      </c>
      <c r="G21" s="309" t="s">
        <v>519</v>
      </c>
      <c r="H21" s="309" t="s">
        <v>35</v>
      </c>
      <c r="I21" s="310" t="str">
        <f t="shared" si="2"/>
        <v>DCS.Bldg.Flood</v>
      </c>
      <c r="J21" s="285" t="str">
        <f>Details!A222</f>
        <v>Yes</v>
      </c>
      <c r="K21" s="286" t="s">
        <v>482</v>
      </c>
      <c r="L21" s="286" t="str">
        <f>IF(OR(K21="Yes",K21="No"),K21,J20)</f>
        <v>Yes</v>
      </c>
      <c r="M21" s="296"/>
      <c r="N21" s="313" t="s">
        <v>211</v>
      </c>
      <c r="O21" s="140">
        <v>10</v>
      </c>
      <c r="P21" s="140">
        <v>3</v>
      </c>
      <c r="Q21" s="287" t="s">
        <v>513</v>
      </c>
      <c r="R21" s="315">
        <v>0.5</v>
      </c>
      <c r="S21" s="315"/>
      <c r="T21" s="315">
        <f t="shared" si="3"/>
        <v>0</v>
      </c>
      <c r="U21" s="312">
        <v>150</v>
      </c>
      <c r="V21" s="312">
        <f t="shared" si="4"/>
        <v>75</v>
      </c>
      <c r="W21" s="312">
        <f t="shared" si="6"/>
        <v>75</v>
      </c>
      <c r="X21" s="297" t="s">
        <v>514</v>
      </c>
      <c r="Y21" s="288">
        <v>45167.333333333336</v>
      </c>
      <c r="Z21" s="297" t="s">
        <v>514</v>
      </c>
      <c r="AA21" s="298">
        <f t="shared" ca="1" si="7"/>
        <v>2</v>
      </c>
      <c r="AB21" s="288">
        <f>IF(D21=1,WORKDAY(AD21,O21),WORKDAY(AD21,P21))</f>
        <v>45181</v>
      </c>
      <c r="AC21" s="297" t="s">
        <v>514</v>
      </c>
      <c r="AD21" s="288">
        <v>45167.333333333336</v>
      </c>
      <c r="AE21" s="298">
        <f t="shared" ca="1" si="5"/>
        <v>11.666666666664241</v>
      </c>
      <c r="AF21" s="297" t="s">
        <v>514</v>
      </c>
      <c r="AG21" s="288">
        <v>45167.333333333336</v>
      </c>
      <c r="AH21" s="299">
        <v>45167.333333333336</v>
      </c>
    </row>
    <row r="22" spans="1:34" s="139" customFormat="1" x14ac:dyDescent="0.2">
      <c r="A22" s="383"/>
      <c r="B22" s="287" t="str">
        <f t="shared" si="0"/>
        <v>TEST.001-RVW.1.20</v>
      </c>
      <c r="C22" s="287" t="str">
        <f t="shared" si="1"/>
        <v>TEST.001</v>
      </c>
      <c r="D22" s="287">
        <v>1</v>
      </c>
      <c r="E22" s="287">
        <f>COUNT($E$3:E21)+1</f>
        <v>20</v>
      </c>
      <c r="F22" s="308" t="s">
        <v>518</v>
      </c>
      <c r="G22" s="309" t="s">
        <v>519</v>
      </c>
      <c r="H22" s="309" t="s">
        <v>39</v>
      </c>
      <c r="I22" s="310" t="str">
        <f t="shared" si="2"/>
        <v>DCS.Bldg.Mechanical</v>
      </c>
      <c r="J22" s="285" t="str">
        <f>Details!A223</f>
        <v>No</v>
      </c>
      <c r="K22" s="286" t="s">
        <v>482</v>
      </c>
      <c r="L22" s="286" t="str">
        <f>IF(OR(K22="Yes",K22="No"),K22,J21)</f>
        <v>Yes</v>
      </c>
      <c r="M22" s="296"/>
      <c r="N22" s="313" t="s">
        <v>192</v>
      </c>
      <c r="O22" s="140">
        <v>10</v>
      </c>
      <c r="P22" s="140">
        <v>3</v>
      </c>
      <c r="Q22" s="287" t="s">
        <v>513</v>
      </c>
      <c r="R22" s="315">
        <v>0.5</v>
      </c>
      <c r="S22" s="315"/>
      <c r="T22" s="315">
        <f t="shared" si="3"/>
        <v>0</v>
      </c>
      <c r="U22" s="312">
        <v>150</v>
      </c>
      <c r="V22" s="312">
        <f t="shared" si="4"/>
        <v>75</v>
      </c>
      <c r="W22" s="312">
        <f t="shared" si="6"/>
        <v>75</v>
      </c>
      <c r="X22" s="297" t="s">
        <v>514</v>
      </c>
      <c r="Y22" s="288">
        <v>45167.333333333336</v>
      </c>
      <c r="Z22" s="297" t="s">
        <v>514</v>
      </c>
      <c r="AA22" s="298">
        <f t="shared" ca="1" si="7"/>
        <v>2</v>
      </c>
      <c r="AB22" s="288">
        <f>IF(D22=1,WORKDAY(AD22,O22),WORKDAY(AD22,P22))</f>
        <v>45181</v>
      </c>
      <c r="AC22" s="297" t="s">
        <v>514</v>
      </c>
      <c r="AD22" s="288">
        <v>45167.333333333336</v>
      </c>
      <c r="AE22" s="298">
        <f t="shared" ca="1" si="5"/>
        <v>11.666666666664241</v>
      </c>
      <c r="AF22" s="297" t="s">
        <v>514</v>
      </c>
      <c r="AG22" s="288">
        <v>45167.333333333336</v>
      </c>
      <c r="AH22" s="299">
        <v>45167.333333333336</v>
      </c>
    </row>
    <row r="23" spans="1:34" s="139" customFormat="1" x14ac:dyDescent="0.2">
      <c r="A23" s="383"/>
      <c r="B23" s="287" t="str">
        <f t="shared" si="0"/>
        <v>TEST.001-RVW.1.21</v>
      </c>
      <c r="C23" s="287" t="str">
        <f t="shared" si="1"/>
        <v>TEST.001</v>
      </c>
      <c r="D23" s="287">
        <v>1</v>
      </c>
      <c r="E23" s="287">
        <f>COUNT($E$3:E22)+1</f>
        <v>21</v>
      </c>
      <c r="F23" s="308" t="s">
        <v>518</v>
      </c>
      <c r="G23" s="309" t="s">
        <v>519</v>
      </c>
      <c r="H23" s="309" t="s">
        <v>41</v>
      </c>
      <c r="I23" s="310" t="str">
        <f t="shared" si="2"/>
        <v>DCS.Bldg.Plumbing</v>
      </c>
      <c r="J23" s="285" t="str">
        <f>Details!A224</f>
        <v>No</v>
      </c>
      <c r="K23" s="286" t="s">
        <v>482</v>
      </c>
      <c r="L23" s="286" t="str">
        <f>IF(OR(K23="Yes",K23="No"),K23,J22)</f>
        <v>Yes</v>
      </c>
      <c r="M23" s="296"/>
      <c r="N23" s="313" t="s">
        <v>192</v>
      </c>
      <c r="O23" s="140">
        <v>10</v>
      </c>
      <c r="P23" s="140">
        <v>3</v>
      </c>
      <c r="Q23" s="287" t="s">
        <v>513</v>
      </c>
      <c r="R23" s="315">
        <v>0.5</v>
      </c>
      <c r="S23" s="315"/>
      <c r="T23" s="315">
        <f t="shared" si="3"/>
        <v>0</v>
      </c>
      <c r="U23" s="312">
        <v>150</v>
      </c>
      <c r="V23" s="312">
        <f t="shared" si="4"/>
        <v>75</v>
      </c>
      <c r="W23" s="312">
        <f t="shared" si="6"/>
        <v>75</v>
      </c>
      <c r="X23" s="297" t="s">
        <v>514</v>
      </c>
      <c r="Y23" s="288">
        <v>45167.333333333336</v>
      </c>
      <c r="Z23" s="297" t="s">
        <v>514</v>
      </c>
      <c r="AA23" s="298">
        <f t="shared" ca="1" si="7"/>
        <v>2</v>
      </c>
      <c r="AB23" s="288">
        <f>IF(D23=1,WORKDAY(AD23,O23),WORKDAY(AD23,P23))</f>
        <v>45181</v>
      </c>
      <c r="AC23" s="297" t="s">
        <v>514</v>
      </c>
      <c r="AD23" s="288">
        <v>45167.333333333336</v>
      </c>
      <c r="AE23" s="298">
        <f t="shared" ca="1" si="5"/>
        <v>11.666666666664241</v>
      </c>
      <c r="AF23" s="297" t="s">
        <v>514</v>
      </c>
      <c r="AG23" s="288">
        <v>45167.333333333336</v>
      </c>
      <c r="AH23" s="299">
        <v>45167.333333333336</v>
      </c>
    </row>
    <row r="24" spans="1:34" s="139" customFormat="1" x14ac:dyDescent="0.2">
      <c r="A24" s="383"/>
      <c r="B24" s="287" t="str">
        <f t="shared" si="0"/>
        <v>TEST.001-RVW.1.22</v>
      </c>
      <c r="C24" s="287" t="str">
        <f t="shared" si="1"/>
        <v>TEST.001</v>
      </c>
      <c r="D24" s="287">
        <v>1</v>
      </c>
      <c r="E24" s="287">
        <f>COUNT($E$3:E23)+1</f>
        <v>22</v>
      </c>
      <c r="F24" s="308" t="s">
        <v>518</v>
      </c>
      <c r="G24" s="309" t="s">
        <v>519</v>
      </c>
      <c r="H24" s="309" t="s">
        <v>529</v>
      </c>
      <c r="I24" s="310" t="str">
        <f t="shared" si="2"/>
        <v>DCS.Bldg.Pool</v>
      </c>
      <c r="J24" s="285" t="str">
        <f>Details!A225</f>
        <v>No</v>
      </c>
      <c r="K24" s="286" t="s">
        <v>482</v>
      </c>
      <c r="L24" s="286" t="str">
        <f>IF(OR(K24="Yes",K24="No"),K24,J23)</f>
        <v>Yes</v>
      </c>
      <c r="M24" s="296"/>
      <c r="N24" s="313" t="s">
        <v>192</v>
      </c>
      <c r="O24" s="140">
        <v>10</v>
      </c>
      <c r="P24" s="140">
        <v>3</v>
      </c>
      <c r="Q24" s="287" t="s">
        <v>513</v>
      </c>
      <c r="R24" s="315">
        <v>0.5</v>
      </c>
      <c r="S24" s="315"/>
      <c r="T24" s="315">
        <f t="shared" si="3"/>
        <v>0</v>
      </c>
      <c r="U24" s="312">
        <v>150</v>
      </c>
      <c r="V24" s="312">
        <f t="shared" si="4"/>
        <v>75</v>
      </c>
      <c r="W24" s="312">
        <f t="shared" si="6"/>
        <v>75</v>
      </c>
      <c r="X24" s="297" t="s">
        <v>514</v>
      </c>
      <c r="Y24" s="288">
        <v>45167.333333333336</v>
      </c>
      <c r="Z24" s="297" t="s">
        <v>514</v>
      </c>
      <c r="AA24" s="298">
        <f t="shared" ca="1" si="7"/>
        <v>2</v>
      </c>
      <c r="AB24" s="288">
        <f>IF(D24=1,WORKDAY(AD24,O24),WORKDAY(AD24,P24))</f>
        <v>45181</v>
      </c>
      <c r="AC24" s="297" t="s">
        <v>514</v>
      </c>
      <c r="AD24" s="288">
        <v>45167.333333333336</v>
      </c>
      <c r="AE24" s="298">
        <f t="shared" ca="1" si="5"/>
        <v>11.666666666664241</v>
      </c>
      <c r="AF24" s="297" t="s">
        <v>514</v>
      </c>
      <c r="AG24" s="288">
        <v>45167.333333333336</v>
      </c>
      <c r="AH24" s="299">
        <v>45167.333333333336</v>
      </c>
    </row>
    <row r="25" spans="1:34" s="139" customFormat="1" x14ac:dyDescent="0.2">
      <c r="A25" s="383"/>
      <c r="B25" s="287" t="str">
        <f t="shared" si="0"/>
        <v>TEST.001-RVW.1.23</v>
      </c>
      <c r="C25" s="287" t="str">
        <f t="shared" si="1"/>
        <v>TEST.001</v>
      </c>
      <c r="D25" s="287">
        <v>1</v>
      </c>
      <c r="E25" s="287">
        <f>COUNT($E$3:E24)+1</f>
        <v>23</v>
      </c>
      <c r="F25" s="308" t="s">
        <v>518</v>
      </c>
      <c r="G25" s="309" t="s">
        <v>519</v>
      </c>
      <c r="H25" s="309" t="s">
        <v>530</v>
      </c>
      <c r="I25" s="310" t="str">
        <f t="shared" si="2"/>
        <v>DCS.Bldg.Rapid</v>
      </c>
      <c r="J25" s="285" t="str">
        <f>Details!A226</f>
        <v>No</v>
      </c>
      <c r="K25" s="286" t="s">
        <v>482</v>
      </c>
      <c r="L25" s="286" t="str">
        <f>IF(OR(K25="Yes",K25="No"),K25,J24)</f>
        <v>Yes</v>
      </c>
      <c r="M25" s="296"/>
      <c r="N25" s="313" t="s">
        <v>192</v>
      </c>
      <c r="O25" s="140">
        <v>3</v>
      </c>
      <c r="P25" s="140">
        <v>3</v>
      </c>
      <c r="Q25" s="287" t="s">
        <v>513</v>
      </c>
      <c r="R25" s="315">
        <v>0.5</v>
      </c>
      <c r="S25" s="315"/>
      <c r="T25" s="315">
        <f t="shared" si="3"/>
        <v>0</v>
      </c>
      <c r="U25" s="312">
        <v>150</v>
      </c>
      <c r="V25" s="312">
        <f t="shared" si="4"/>
        <v>75</v>
      </c>
      <c r="W25" s="312">
        <f t="shared" si="6"/>
        <v>75</v>
      </c>
      <c r="X25" s="297" t="s">
        <v>514</v>
      </c>
      <c r="Y25" s="288">
        <v>45167.333333333336</v>
      </c>
      <c r="Z25" s="297" t="s">
        <v>514</v>
      </c>
      <c r="AA25" s="298">
        <f t="shared" ca="1" si="7"/>
        <v>-6</v>
      </c>
      <c r="AB25" s="288">
        <f>IF(D25=1,WORKDAY(AD25,O25),WORKDAY(AD25,P25))</f>
        <v>45170</v>
      </c>
      <c r="AC25" s="297" t="s">
        <v>514</v>
      </c>
      <c r="AD25" s="288">
        <v>45167.333333333336</v>
      </c>
      <c r="AE25" s="298">
        <f t="shared" ca="1" si="5"/>
        <v>11.666666666664241</v>
      </c>
      <c r="AF25" s="297" t="s">
        <v>514</v>
      </c>
      <c r="AG25" s="288">
        <v>45167.333333333336</v>
      </c>
      <c r="AH25" s="299">
        <v>45167.333333333336</v>
      </c>
    </row>
    <row r="26" spans="1:34" s="139" customFormat="1" x14ac:dyDescent="0.2">
      <c r="A26" s="383"/>
      <c r="B26" s="287" t="str">
        <f t="shared" si="0"/>
        <v>TEST.001-RVW.1.24</v>
      </c>
      <c r="C26" s="287" t="str">
        <f t="shared" si="1"/>
        <v>TEST.001</v>
      </c>
      <c r="D26" s="287">
        <v>1</v>
      </c>
      <c r="E26" s="287">
        <f>COUNT($E$3:E25)+1</f>
        <v>24</v>
      </c>
      <c r="F26" s="308" t="s">
        <v>518</v>
      </c>
      <c r="G26" s="309" t="s">
        <v>519</v>
      </c>
      <c r="H26" s="309" t="s">
        <v>531</v>
      </c>
      <c r="I26" s="310" t="str">
        <f t="shared" si="2"/>
        <v>DCS.Bldg.Structural</v>
      </c>
      <c r="J26" s="285" t="str">
        <f>Details!A227</f>
        <v>No</v>
      </c>
      <c r="K26" s="286" t="s">
        <v>482</v>
      </c>
      <c r="L26" s="286" t="str">
        <f>IF(OR(K26="Yes",K26="No"),K26,J25)</f>
        <v>Yes</v>
      </c>
      <c r="M26" s="296"/>
      <c r="N26" s="313" t="s">
        <v>200</v>
      </c>
      <c r="O26" s="140">
        <v>10</v>
      </c>
      <c r="P26" s="140">
        <v>3</v>
      </c>
      <c r="Q26" s="287" t="s">
        <v>513</v>
      </c>
      <c r="R26" s="315">
        <v>0.5</v>
      </c>
      <c r="S26" s="315"/>
      <c r="T26" s="315">
        <f t="shared" si="3"/>
        <v>0</v>
      </c>
      <c r="U26" s="312">
        <v>150</v>
      </c>
      <c r="V26" s="312">
        <f t="shared" si="4"/>
        <v>75</v>
      </c>
      <c r="W26" s="312">
        <f t="shared" si="6"/>
        <v>75</v>
      </c>
      <c r="X26" s="297" t="s">
        <v>514</v>
      </c>
      <c r="Y26" s="288">
        <v>45167.333333333336</v>
      </c>
      <c r="Z26" s="297" t="s">
        <v>514</v>
      </c>
      <c r="AA26" s="298">
        <f ca="1">NETWORKDAYS(TODAY(),AB26)</f>
        <v>2</v>
      </c>
      <c r="AB26" s="288">
        <f>IF(D26=1,WORKDAY(AD26,O26),WORKDAY(AD26,P26))</f>
        <v>45181</v>
      </c>
      <c r="AC26" s="297" t="s">
        <v>514</v>
      </c>
      <c r="AD26" s="288">
        <v>45167.333333333336</v>
      </c>
      <c r="AE26" s="298">
        <f t="shared" ca="1" si="5"/>
        <v>11.666666666664241</v>
      </c>
      <c r="AF26" s="297" t="s">
        <v>514</v>
      </c>
      <c r="AG26" s="288">
        <v>45167.333333333336</v>
      </c>
      <c r="AH26" s="299">
        <v>45167.333333333336</v>
      </c>
    </row>
    <row r="27" spans="1:34" s="139" customFormat="1" x14ac:dyDescent="0.2">
      <c r="A27" s="383"/>
      <c r="B27" s="287" t="str">
        <f t="shared" si="0"/>
        <v>TEST.001-RVW.1.25</v>
      </c>
      <c r="C27" s="287" t="str">
        <f t="shared" si="1"/>
        <v>TEST.001</v>
      </c>
      <c r="D27" s="287">
        <v>1</v>
      </c>
      <c r="E27" s="287">
        <f>COUNT($E$3:E26)+1</f>
        <v>25</v>
      </c>
      <c r="F27" s="308" t="s">
        <v>518</v>
      </c>
      <c r="G27" s="309" t="s">
        <v>532</v>
      </c>
      <c r="H27" s="309" t="s">
        <v>533</v>
      </c>
      <c r="I27" s="310" t="str">
        <f t="shared" si="2"/>
        <v>DCS.CE.Compliance</v>
      </c>
      <c r="J27" s="285" t="str">
        <f>Details!A228</f>
        <v>No</v>
      </c>
      <c r="K27" s="286" t="s">
        <v>482</v>
      </c>
      <c r="L27" s="286" t="str">
        <f>IF(OR(K27="Yes",K27="No"),K27,J26)</f>
        <v>Yes</v>
      </c>
      <c r="M27" s="296"/>
      <c r="N27" s="313" t="s">
        <v>203</v>
      </c>
      <c r="O27" s="140">
        <v>10</v>
      </c>
      <c r="P27" s="140">
        <v>3</v>
      </c>
      <c r="Q27" s="287" t="s">
        <v>513</v>
      </c>
      <c r="R27" s="312"/>
      <c r="S27" s="312"/>
      <c r="T27" s="312"/>
      <c r="U27" s="312"/>
      <c r="V27" s="312"/>
      <c r="W27" s="312"/>
      <c r="X27" s="297" t="s">
        <v>514</v>
      </c>
      <c r="Y27" s="288">
        <v>45167.333333333336</v>
      </c>
      <c r="Z27" s="297" t="s">
        <v>514</v>
      </c>
      <c r="AA27" s="298">
        <f t="shared" ca="1" si="7"/>
        <v>2</v>
      </c>
      <c r="AB27" s="288">
        <f>IF(D27=1,WORKDAY(AD27,O27),WORKDAY(AD27,P27))</f>
        <v>45181</v>
      </c>
      <c r="AC27" s="297" t="s">
        <v>514</v>
      </c>
      <c r="AD27" s="288">
        <v>45167.333333333336</v>
      </c>
      <c r="AE27" s="298">
        <f t="shared" ca="1" si="5"/>
        <v>11.666666666664241</v>
      </c>
      <c r="AF27" s="297" t="s">
        <v>514</v>
      </c>
      <c r="AG27" s="288">
        <v>45167.333333333336</v>
      </c>
      <c r="AH27" s="299">
        <v>45167.333333333336</v>
      </c>
    </row>
    <row r="28" spans="1:34" s="139" customFormat="1" x14ac:dyDescent="0.2">
      <c r="A28" s="383"/>
      <c r="B28" s="287" t="str">
        <f t="shared" si="0"/>
        <v>TEST.001-RVW.1.26</v>
      </c>
      <c r="C28" s="287" t="str">
        <f t="shared" si="1"/>
        <v>TEST.001</v>
      </c>
      <c r="D28" s="287">
        <v>1</v>
      </c>
      <c r="E28" s="287">
        <f>COUNT($E$3:E27)+1</f>
        <v>26</v>
      </c>
      <c r="F28" s="308" t="s">
        <v>518</v>
      </c>
      <c r="G28" s="309" t="s">
        <v>534</v>
      </c>
      <c r="H28" s="309" t="s">
        <v>535</v>
      </c>
      <c r="I28" s="310" t="str">
        <f t="shared" si="2"/>
        <v>DCS.EH.Cannabis.Unit</v>
      </c>
      <c r="J28" s="285" t="str">
        <f>Details!A229</f>
        <v>No</v>
      </c>
      <c r="K28" s="286" t="s">
        <v>482</v>
      </c>
      <c r="L28" s="286" t="str">
        <f>IF(OR(K28="Yes",K28="No"),K28,J27)</f>
        <v>Yes</v>
      </c>
      <c r="M28" s="296"/>
      <c r="N28" s="313" t="s">
        <v>215</v>
      </c>
      <c r="O28" s="140">
        <v>10</v>
      </c>
      <c r="P28" s="140">
        <v>3</v>
      </c>
      <c r="Q28" s="287" t="s">
        <v>513</v>
      </c>
      <c r="R28" s="312"/>
      <c r="S28" s="312"/>
      <c r="T28" s="312"/>
      <c r="U28" s="312"/>
      <c r="V28" s="312"/>
      <c r="W28" s="312"/>
      <c r="X28" s="297" t="s">
        <v>514</v>
      </c>
      <c r="Y28" s="288">
        <v>45167.333333333336</v>
      </c>
      <c r="Z28" s="297" t="s">
        <v>514</v>
      </c>
      <c r="AA28" s="298">
        <f t="shared" ca="1" si="7"/>
        <v>2</v>
      </c>
      <c r="AB28" s="288">
        <f>IF(D28=1,WORKDAY(AD28,O28),WORKDAY(AD28,P28))</f>
        <v>45181</v>
      </c>
      <c r="AC28" s="297" t="s">
        <v>514</v>
      </c>
      <c r="AD28" s="288">
        <v>45167.333333333336</v>
      </c>
      <c r="AE28" s="298">
        <f t="shared" ca="1" si="5"/>
        <v>11.666666666664241</v>
      </c>
      <c r="AF28" s="297" t="s">
        <v>514</v>
      </c>
      <c r="AG28" s="288">
        <v>45167.333333333336</v>
      </c>
      <c r="AH28" s="299">
        <v>45167.333333333336</v>
      </c>
    </row>
    <row r="29" spans="1:34" s="139" customFormat="1" x14ac:dyDescent="0.2">
      <c r="A29" s="383"/>
      <c r="B29" s="287" t="str">
        <f t="shared" si="0"/>
        <v>TEST.001-RVW.1.27</v>
      </c>
      <c r="C29" s="287" t="str">
        <f t="shared" si="1"/>
        <v>TEST.001</v>
      </c>
      <c r="D29" s="287">
        <v>1</v>
      </c>
      <c r="E29" s="287">
        <f>COUNT($E$3:E28)+1</f>
        <v>27</v>
      </c>
      <c r="F29" s="308" t="s">
        <v>518</v>
      </c>
      <c r="G29" s="309" t="s">
        <v>534</v>
      </c>
      <c r="H29" s="309" t="s">
        <v>536</v>
      </c>
      <c r="I29" s="310" t="str">
        <f t="shared" si="2"/>
        <v>DCS.EH.Consumer.Protection</v>
      </c>
      <c r="J29" s="285" t="str">
        <f>Details!A230</f>
        <v>No</v>
      </c>
      <c r="K29" s="286" t="s">
        <v>482</v>
      </c>
      <c r="L29" s="286" t="str">
        <f>IF(OR(K29="Yes",K29="No"),K29,J28)</f>
        <v>Yes</v>
      </c>
      <c r="M29" s="296"/>
      <c r="N29" s="313" t="s">
        <v>215</v>
      </c>
      <c r="O29" s="140">
        <v>10</v>
      </c>
      <c r="P29" s="140">
        <v>3</v>
      </c>
      <c r="Q29" s="287" t="s">
        <v>513</v>
      </c>
      <c r="R29" s="312"/>
      <c r="S29" s="312"/>
      <c r="T29" s="312"/>
      <c r="U29" s="312"/>
      <c r="V29" s="312"/>
      <c r="W29" s="312"/>
      <c r="X29" s="297" t="s">
        <v>514</v>
      </c>
      <c r="Y29" s="288">
        <v>45167.333333333336</v>
      </c>
      <c r="Z29" s="297" t="s">
        <v>514</v>
      </c>
      <c r="AA29" s="298">
        <f t="shared" ca="1" si="7"/>
        <v>2</v>
      </c>
      <c r="AB29" s="288">
        <f>IF(D29=1,WORKDAY(AD29,O29),WORKDAY(AD29,P29))</f>
        <v>45181</v>
      </c>
      <c r="AC29" s="297" t="s">
        <v>514</v>
      </c>
      <c r="AD29" s="288">
        <v>45167.333333333336</v>
      </c>
      <c r="AE29" s="298">
        <f t="shared" ca="1" si="5"/>
        <v>11.666666666664241</v>
      </c>
      <c r="AF29" s="297" t="s">
        <v>514</v>
      </c>
      <c r="AG29" s="288">
        <v>45167.333333333336</v>
      </c>
      <c r="AH29" s="299">
        <v>45167.333333333336</v>
      </c>
    </row>
    <row r="30" spans="1:34" s="139" customFormat="1" x14ac:dyDescent="0.2">
      <c r="A30" s="383"/>
      <c r="B30" s="287" t="str">
        <f t="shared" si="0"/>
        <v>TEST.001-RVW.1.28</v>
      </c>
      <c r="C30" s="287" t="str">
        <f t="shared" si="1"/>
        <v>TEST.001</v>
      </c>
      <c r="D30" s="287">
        <v>1</v>
      </c>
      <c r="E30" s="287">
        <f>COUNT($E$3:E29)+1</f>
        <v>28</v>
      </c>
      <c r="F30" s="308" t="s">
        <v>518</v>
      </c>
      <c r="G30" s="309" t="s">
        <v>534</v>
      </c>
      <c r="H30" s="309" t="s">
        <v>537</v>
      </c>
      <c r="I30" s="310" t="str">
        <f t="shared" si="2"/>
        <v>DCS.EH.Land.Use</v>
      </c>
      <c r="J30" s="285" t="str">
        <f>Details!A231</f>
        <v>No</v>
      </c>
      <c r="K30" s="286" t="s">
        <v>482</v>
      </c>
      <c r="L30" s="286" t="str">
        <f>IF(OR(K30="Yes",K30="No"),K30,J29)</f>
        <v>Yes</v>
      </c>
      <c r="M30" s="296"/>
      <c r="N30" s="313" t="s">
        <v>215</v>
      </c>
      <c r="O30" s="140">
        <v>10</v>
      </c>
      <c r="P30" s="140">
        <v>3</v>
      </c>
      <c r="Q30" s="287" t="s">
        <v>503</v>
      </c>
      <c r="R30" s="312"/>
      <c r="S30" s="312"/>
      <c r="T30" s="312"/>
      <c r="U30" s="312"/>
      <c r="V30" s="312"/>
      <c r="W30" s="312"/>
      <c r="X30" s="297" t="s">
        <v>514</v>
      </c>
      <c r="Y30" s="288">
        <v>45167.333333333336</v>
      </c>
      <c r="Z30" s="297" t="s">
        <v>514</v>
      </c>
      <c r="AA30" s="298">
        <f t="shared" ca="1" si="7"/>
        <v>2</v>
      </c>
      <c r="AB30" s="288">
        <f>IF(D30=1,WORKDAY(AD30,O30),WORKDAY(AD30,P30))</f>
        <v>45181</v>
      </c>
      <c r="AC30" s="297" t="s">
        <v>514</v>
      </c>
      <c r="AD30" s="288">
        <v>45167.333333333336</v>
      </c>
      <c r="AE30" s="298">
        <f t="shared" ca="1" si="5"/>
        <v>11.666666666664241</v>
      </c>
      <c r="AF30" s="297" t="s">
        <v>514</v>
      </c>
      <c r="AG30" s="288">
        <v>45167.333333333336</v>
      </c>
      <c r="AH30" s="299">
        <v>45167.333333333336</v>
      </c>
    </row>
    <row r="31" spans="1:34" s="139" customFormat="1" x14ac:dyDescent="0.2">
      <c r="A31" s="383"/>
      <c r="B31" s="287" t="str">
        <f t="shared" si="0"/>
        <v>TEST.001-RVW.1.29</v>
      </c>
      <c r="C31" s="287" t="str">
        <f t="shared" si="1"/>
        <v>TEST.001</v>
      </c>
      <c r="D31" s="287">
        <v>1</v>
      </c>
      <c r="E31" s="287">
        <f>COUNT($E$3:E30)+1</f>
        <v>29</v>
      </c>
      <c r="F31" s="308" t="s">
        <v>518</v>
      </c>
      <c r="G31" s="309" t="s">
        <v>534</v>
      </c>
      <c r="H31" s="309" t="s">
        <v>538</v>
      </c>
      <c r="I31" s="310" t="str">
        <f t="shared" si="2"/>
        <v>DCS.EH.HazMat</v>
      </c>
      <c r="J31" s="285"/>
      <c r="K31" s="286" t="s">
        <v>482</v>
      </c>
      <c r="L31" s="286" t="str">
        <f>IF(OR(K31="Yes",K31="No"),K31,#REF!)</f>
        <v>Yes</v>
      </c>
      <c r="M31" s="296"/>
      <c r="N31" s="313" t="s">
        <v>215</v>
      </c>
      <c r="O31" s="140">
        <v>10</v>
      </c>
      <c r="P31" s="140">
        <v>3</v>
      </c>
      <c r="Q31" s="287" t="s">
        <v>539</v>
      </c>
      <c r="R31" s="312"/>
      <c r="S31" s="312"/>
      <c r="T31" s="312"/>
      <c r="U31" s="312"/>
      <c r="V31" s="312"/>
      <c r="W31" s="312"/>
      <c r="X31" s="297" t="s">
        <v>514</v>
      </c>
      <c r="Y31" s="288">
        <v>45167.333333333336</v>
      </c>
      <c r="Z31" s="297" t="s">
        <v>514</v>
      </c>
      <c r="AA31" s="298">
        <f t="shared" ca="1" si="7"/>
        <v>2</v>
      </c>
      <c r="AB31" s="288">
        <f>IF(D31=1,WORKDAY(AD31,O31),WORKDAY(AD31,P31))</f>
        <v>45181</v>
      </c>
      <c r="AC31" s="297" t="s">
        <v>514</v>
      </c>
      <c r="AD31" s="288">
        <v>45167.333333333336</v>
      </c>
      <c r="AE31" s="298">
        <f t="shared" ca="1" si="5"/>
        <v>11.666666666664241</v>
      </c>
      <c r="AF31" s="297" t="s">
        <v>514</v>
      </c>
      <c r="AG31" s="288">
        <v>45167.333333333336</v>
      </c>
      <c r="AH31" s="299">
        <v>45167.333333333336</v>
      </c>
    </row>
    <row r="32" spans="1:34" s="139" customFormat="1" x14ac:dyDescent="0.2">
      <c r="A32" s="383"/>
      <c r="B32" s="287" t="str">
        <f t="shared" si="0"/>
        <v>TEST.001-RVW.1.30</v>
      </c>
      <c r="C32" s="287" t="str">
        <f t="shared" si="1"/>
        <v>TEST.001</v>
      </c>
      <c r="D32" s="287">
        <v>1</v>
      </c>
      <c r="E32" s="287">
        <f>COUNT($E$3:E31)+1</f>
        <v>30</v>
      </c>
      <c r="F32" s="308" t="s">
        <v>518</v>
      </c>
      <c r="G32" s="309" t="s">
        <v>540</v>
      </c>
      <c r="H32" s="309" t="s">
        <v>541</v>
      </c>
      <c r="I32" s="310" t="str">
        <f t="shared" si="2"/>
        <v>DCS.IWM.C&amp;D</v>
      </c>
      <c r="J32" s="285"/>
      <c r="K32" s="286" t="s">
        <v>482</v>
      </c>
      <c r="L32" s="286" t="str">
        <f>IF(OR(K32="Yes",K32="No"),K32,#REF!)</f>
        <v>Yes</v>
      </c>
      <c r="M32" s="296"/>
      <c r="N32" s="313" t="s">
        <v>240</v>
      </c>
      <c r="O32" s="140">
        <v>10</v>
      </c>
      <c r="P32" s="140">
        <v>3</v>
      </c>
      <c r="Q32" s="287" t="s">
        <v>131</v>
      </c>
      <c r="R32" s="312"/>
      <c r="S32" s="312"/>
      <c r="T32" s="312"/>
      <c r="U32" s="312"/>
      <c r="V32" s="312"/>
      <c r="W32" s="312"/>
      <c r="X32" s="297" t="s">
        <v>514</v>
      </c>
      <c r="Y32" s="288">
        <v>45167.333333333336</v>
      </c>
      <c r="Z32" s="297" t="s">
        <v>514</v>
      </c>
      <c r="AA32" s="298">
        <f t="shared" ca="1" si="7"/>
        <v>2</v>
      </c>
      <c r="AB32" s="288">
        <f>IF(D32=1,WORKDAY(AD32,O32),WORKDAY(AD32,P32))</f>
        <v>45181</v>
      </c>
      <c r="AC32" s="297" t="s">
        <v>514</v>
      </c>
      <c r="AD32" s="288">
        <v>45167.333333333336</v>
      </c>
      <c r="AE32" s="298">
        <f t="shared" ca="1" si="5"/>
        <v>11.666666666664241</v>
      </c>
      <c r="AF32" s="297" t="s">
        <v>514</v>
      </c>
      <c r="AG32" s="288">
        <v>45167.333333333336</v>
      </c>
      <c r="AH32" s="299">
        <v>45167.333333333336</v>
      </c>
    </row>
    <row r="33" spans="1:34" s="139" customFormat="1" x14ac:dyDescent="0.2">
      <c r="A33" s="383"/>
      <c r="B33" s="287" t="str">
        <f t="shared" si="0"/>
        <v>TEST.001-RVW.1.31</v>
      </c>
      <c r="C33" s="287" t="str">
        <f t="shared" si="1"/>
        <v>TEST.001</v>
      </c>
      <c r="D33" s="287">
        <v>1</v>
      </c>
      <c r="E33" s="287">
        <f>COUNT($E$3:E32)+1</f>
        <v>31</v>
      </c>
      <c r="F33" s="308" t="s">
        <v>518</v>
      </c>
      <c r="G33" s="309" t="s">
        <v>542</v>
      </c>
      <c r="H33" s="309"/>
      <c r="I33" s="310" t="str">
        <f t="shared" si="2"/>
        <v>DCS.Planning.</v>
      </c>
      <c r="J33" s="285"/>
      <c r="K33" s="286" t="s">
        <v>482</v>
      </c>
      <c r="L33" s="286" t="str">
        <f>IF(OR(K33="Yes",K33="No"),K33,#REF!)</f>
        <v>Yes</v>
      </c>
      <c r="M33" s="296"/>
      <c r="N33" s="313" t="s">
        <v>255</v>
      </c>
      <c r="O33" s="140">
        <v>10</v>
      </c>
      <c r="P33" s="140">
        <v>3</v>
      </c>
      <c r="Q33" s="287" t="s">
        <v>543</v>
      </c>
      <c r="R33" s="312"/>
      <c r="S33" s="312"/>
      <c r="T33" s="312"/>
      <c r="U33" s="312"/>
      <c r="V33" s="312"/>
      <c r="W33" s="312"/>
      <c r="X33" s="297" t="s">
        <v>514</v>
      </c>
      <c r="Y33" s="288">
        <v>45167.333333333336</v>
      </c>
      <c r="Z33" s="297" t="s">
        <v>514</v>
      </c>
      <c r="AA33" s="298">
        <f t="shared" ca="1" si="7"/>
        <v>2</v>
      </c>
      <c r="AB33" s="288">
        <f>IF(D33=1,WORKDAY(AD33,O33),WORKDAY(AD33,P33))</f>
        <v>45181</v>
      </c>
      <c r="AC33" s="297" t="s">
        <v>514</v>
      </c>
      <c r="AD33" s="288">
        <v>45167.333333333336</v>
      </c>
      <c r="AE33" s="298">
        <f t="shared" ca="1" si="5"/>
        <v>11.666666666664241</v>
      </c>
      <c r="AF33" s="297" t="s">
        <v>514</v>
      </c>
      <c r="AG33" s="288">
        <v>45167.333333333336</v>
      </c>
      <c r="AH33" s="299">
        <v>45167.333333333336</v>
      </c>
    </row>
    <row r="34" spans="1:34" s="139" customFormat="1" x14ac:dyDescent="0.2">
      <c r="A34" s="383"/>
      <c r="B34" s="287" t="str">
        <f t="shared" si="0"/>
        <v>TEST.001-RVW.1.32</v>
      </c>
      <c r="C34" s="287" t="str">
        <f>$C$3</f>
        <v>TEST.001</v>
      </c>
      <c r="D34" s="287">
        <v>1</v>
      </c>
      <c r="E34" s="287">
        <f>COUNT($E$3:E33)+1</f>
        <v>32</v>
      </c>
      <c r="F34" s="308" t="s">
        <v>518</v>
      </c>
      <c r="G34" s="309" t="s">
        <v>544</v>
      </c>
      <c r="H34" s="309"/>
      <c r="I34" s="310" t="str">
        <f t="shared" si="2"/>
        <v>DCS.PW.</v>
      </c>
      <c r="J34" s="285"/>
      <c r="K34" s="286" t="s">
        <v>482</v>
      </c>
      <c r="L34" s="286" t="str">
        <f>IF(OR(K34="Yes",K34="No"),K34,#REF!)</f>
        <v>Yes</v>
      </c>
      <c r="M34" s="296"/>
      <c r="N34" s="313" t="s">
        <v>259</v>
      </c>
      <c r="O34" s="140">
        <v>10</v>
      </c>
      <c r="P34" s="140">
        <v>3</v>
      </c>
      <c r="Q34" s="287" t="s">
        <v>545</v>
      </c>
      <c r="R34" s="312"/>
      <c r="S34" s="312"/>
      <c r="T34" s="312"/>
      <c r="U34" s="312"/>
      <c r="V34" s="312"/>
      <c r="W34" s="312"/>
      <c r="X34" s="297" t="s">
        <v>514</v>
      </c>
      <c r="Y34" s="288">
        <v>45167.333333333336</v>
      </c>
      <c r="Z34" s="297" t="s">
        <v>514</v>
      </c>
      <c r="AA34" s="298">
        <f t="shared" ca="1" si="7"/>
        <v>2</v>
      </c>
      <c r="AB34" s="288">
        <f>IF(D34=1,WORKDAY(AD34,O34),WORKDAY(AD34,P34))</f>
        <v>45181</v>
      </c>
      <c r="AC34" s="297" t="s">
        <v>514</v>
      </c>
      <c r="AD34" s="288">
        <v>45167.333333333336</v>
      </c>
      <c r="AE34" s="298">
        <f t="shared" ca="1" si="5"/>
        <v>11.666666666664241</v>
      </c>
      <c r="AF34" s="297" t="s">
        <v>514</v>
      </c>
      <c r="AG34" s="288">
        <v>45167.333333333336</v>
      </c>
      <c r="AH34" s="299">
        <v>45167.333333333336</v>
      </c>
    </row>
    <row r="35" spans="1:34" x14ac:dyDescent="0.2">
      <c r="D35" s="139"/>
      <c r="E35" s="139"/>
      <c r="F35" s="300"/>
      <c r="G35" s="301"/>
      <c r="H35" s="301"/>
      <c r="O35" s="139"/>
      <c r="P35" s="139"/>
      <c r="Q35" s="139"/>
      <c r="R35" s="284">
        <f>SUM(R3:R34)</f>
        <v>10.5</v>
      </c>
      <c r="S35" s="284">
        <f>SUM(S3:S34)</f>
        <v>1.5</v>
      </c>
      <c r="T35" s="284">
        <f>SUM(T3:T34)</f>
        <v>1</v>
      </c>
      <c r="U35" s="139"/>
      <c r="V35" s="139"/>
      <c r="W35" s="139"/>
      <c r="AE35" s="139"/>
      <c r="AF35" s="139"/>
      <c r="AG35" s="139"/>
      <c r="AH35" s="139"/>
    </row>
    <row r="36" spans="1:34" x14ac:dyDescent="0.2">
      <c r="D36" s="139"/>
      <c r="E36" s="139"/>
      <c r="F36" s="300"/>
      <c r="G36" s="301"/>
      <c r="H36" s="301"/>
      <c r="O36" s="139"/>
      <c r="P36" s="139"/>
      <c r="Q36" s="139"/>
      <c r="R36" s="284"/>
      <c r="S36" s="284"/>
      <c r="T36" s="284"/>
      <c r="U36" s="139"/>
      <c r="V36" s="139"/>
      <c r="W36" s="139"/>
      <c r="AE36" s="284"/>
      <c r="AF36" s="139"/>
      <c r="AG36" s="139"/>
      <c r="AH36" s="139"/>
    </row>
    <row r="37" spans="1:34" x14ac:dyDescent="0.2">
      <c r="D37" s="139"/>
      <c r="E37" s="139"/>
      <c r="F37" s="300"/>
      <c r="G37" s="301"/>
      <c r="H37" s="301"/>
      <c r="O37" s="139"/>
      <c r="P37" s="139"/>
      <c r="Q37" s="139"/>
      <c r="R37" s="284"/>
      <c r="S37" s="284"/>
      <c r="T37" s="284"/>
      <c r="U37" s="139"/>
      <c r="V37" s="139"/>
      <c r="W37" s="139"/>
      <c r="AE37" s="284"/>
      <c r="AF37" s="139"/>
      <c r="AG37" s="139"/>
      <c r="AH37" s="139"/>
    </row>
    <row r="38" spans="1:34" x14ac:dyDescent="0.2">
      <c r="D38" s="139"/>
      <c r="E38" s="139"/>
      <c r="F38" s="300"/>
      <c r="G38" s="301"/>
      <c r="H38" s="301"/>
      <c r="N38" s="302"/>
      <c r="P38" s="139"/>
      <c r="Q38" s="139"/>
      <c r="R38" s="139"/>
      <c r="S38" s="139"/>
      <c r="T38" s="139"/>
      <c r="U38" s="139"/>
      <c r="V38" s="139"/>
      <c r="W38" s="139"/>
      <c r="AF38" s="139"/>
      <c r="AG38" s="139"/>
      <c r="AH38" s="139"/>
    </row>
    <row r="39" spans="1:34" x14ac:dyDescent="0.2">
      <c r="N39" s="302"/>
      <c r="T39" s="392"/>
      <c r="U39" s="392"/>
      <c r="V39" s="392"/>
      <c r="W39" s="392"/>
      <c r="AF39" s="139"/>
      <c r="AG39" s="139"/>
      <c r="AH39" s="139"/>
    </row>
    <row r="45" spans="1:34" x14ac:dyDescent="0.2">
      <c r="N45" s="302"/>
      <c r="X45" s="305"/>
      <c r="Z45" s="305"/>
      <c r="AA45" s="305"/>
      <c r="AB45" s="305"/>
      <c r="AC45" s="305"/>
      <c r="AD45" s="305"/>
      <c r="AE45" s="305"/>
      <c r="AF45" s="305"/>
      <c r="AG45" s="305"/>
      <c r="AH45" s="305"/>
    </row>
    <row r="46" spans="1:34" x14ac:dyDescent="0.2">
      <c r="N46" s="302"/>
    </row>
    <row r="47" spans="1:34" x14ac:dyDescent="0.2">
      <c r="N47" s="302"/>
    </row>
    <row r="48" spans="1:34" x14ac:dyDescent="0.2">
      <c r="N48" s="302"/>
    </row>
    <row r="49" spans="9:14" x14ac:dyDescent="0.2">
      <c r="N49" s="302"/>
    </row>
    <row r="50" spans="9:14" x14ac:dyDescent="0.2">
      <c r="N50" s="302"/>
    </row>
    <row r="51" spans="9:14" x14ac:dyDescent="0.2">
      <c r="N51" s="302"/>
    </row>
    <row r="52" spans="9:14" x14ac:dyDescent="0.2">
      <c r="N52" s="302"/>
    </row>
    <row r="53" spans="9:14" x14ac:dyDescent="0.2">
      <c r="N53" s="302"/>
    </row>
    <row r="54" spans="9:14" x14ac:dyDescent="0.2">
      <c r="N54" s="302"/>
    </row>
    <row r="55" spans="9:14" x14ac:dyDescent="0.2">
      <c r="N55" s="302"/>
    </row>
    <row r="56" spans="9:14" x14ac:dyDescent="0.2">
      <c r="N56" s="302"/>
    </row>
    <row r="57" spans="9:14" x14ac:dyDescent="0.2">
      <c r="N57" s="302"/>
    </row>
    <row r="58" spans="9:14" x14ac:dyDescent="0.2">
      <c r="N58" s="302"/>
    </row>
    <row r="59" spans="9:14" x14ac:dyDescent="0.2">
      <c r="N59" s="302"/>
    </row>
    <row r="60" spans="9:14" x14ac:dyDescent="0.2">
      <c r="N60" s="302"/>
    </row>
    <row r="61" spans="9:14" x14ac:dyDescent="0.2">
      <c r="I61" s="139"/>
      <c r="J61" s="139"/>
    </row>
  </sheetData>
  <sortState xmlns:xlrd2="http://schemas.microsoft.com/office/spreadsheetml/2017/richdata2" ref="I40:I63">
    <sortCondition ref="I40:I63"/>
  </sortState>
  <mergeCells count="1">
    <mergeCell ref="T39:W39"/>
  </mergeCells>
  <conditionalFormatting sqref="Q6:R26 T6:T26 Q3:Q5 R35:W37 AE36:AE37 Q27:Q34 Q1:AH1">
    <cfRule type="cellIs" dxfId="55" priority="52" operator="equal">
      <formula>"See Next Cycle"</formula>
    </cfRule>
    <cfRule type="cellIs" dxfId="54" priority="53" operator="equal">
      <formula>"Corrections Sent"</formula>
    </cfRule>
    <cfRule type="cellIs" dxfId="53" priority="54" operator="equal">
      <formula>"Approved"</formula>
    </cfRule>
    <cfRule type="cellIs" dxfId="52" priority="55" operator="equal">
      <formula>"N/A"</formula>
    </cfRule>
    <cfRule type="cellIs" dxfId="51" priority="56" operator="equal">
      <formula>"Due"</formula>
    </cfRule>
  </conditionalFormatting>
  <conditionalFormatting sqref="AA6:AA34">
    <cfRule type="cellIs" dxfId="50" priority="49" operator="lessThan">
      <formula>1</formula>
    </cfRule>
  </conditionalFormatting>
  <conditionalFormatting sqref="T6:T26 R35:W37 AE36:AE37 Q1:AH1">
    <cfRule type="cellIs" dxfId="49" priority="48" operator="notEqual">
      <formula>0</formula>
    </cfRule>
  </conditionalFormatting>
  <conditionalFormatting sqref="T6:T26">
    <cfRule type="cellIs" dxfId="48" priority="27" operator="equal">
      <formula>0</formula>
    </cfRule>
  </conditionalFormatting>
  <conditionalFormatting sqref="B1:AH1">
    <cfRule type="cellIs" dxfId="47" priority="26" operator="equal">
      <formula>"No"</formula>
    </cfRule>
  </conditionalFormatting>
  <conditionalFormatting sqref="I1:K1">
    <cfRule type="cellIs" dxfId="46" priority="20" operator="equal">
      <formula>"See Next Cycle"</formula>
    </cfRule>
    <cfRule type="cellIs" dxfId="45" priority="21" operator="equal">
      <formula>"Corrections Sent"</formula>
    </cfRule>
    <cfRule type="cellIs" dxfId="44" priority="22" operator="equal">
      <formula>"Approved"</formula>
    </cfRule>
    <cfRule type="cellIs" dxfId="43" priority="23" operator="equal">
      <formula>"N/A"</formula>
    </cfRule>
    <cfRule type="cellIs" dxfId="42" priority="24" operator="equal">
      <formula>"Due"</formula>
    </cfRule>
  </conditionalFormatting>
  <conditionalFormatting sqref="I1:K1">
    <cfRule type="cellIs" dxfId="41" priority="19" operator="notEqual">
      <formula>0</formula>
    </cfRule>
  </conditionalFormatting>
  <conditionalFormatting sqref="C1:D1">
    <cfRule type="cellIs" dxfId="40" priority="14" operator="equal">
      <formula>"See Next Cycle"</formula>
    </cfRule>
    <cfRule type="cellIs" dxfId="39" priority="15" operator="equal">
      <formula>"Corrections Sent"</formula>
    </cfRule>
    <cfRule type="cellIs" dxfId="38" priority="16" operator="equal">
      <formula>"Approved"</formula>
    </cfRule>
    <cfRule type="cellIs" dxfId="37" priority="17" operator="equal">
      <formula>"N/A"</formula>
    </cfRule>
    <cfRule type="cellIs" dxfId="36" priority="18" operator="equal">
      <formula>"Due"</formula>
    </cfRule>
  </conditionalFormatting>
  <conditionalFormatting sqref="C1:D1">
    <cfRule type="cellIs" dxfId="35" priority="13" operator="notEqual">
      <formula>0</formula>
    </cfRule>
  </conditionalFormatting>
  <dataValidations count="7">
    <dataValidation type="list" allowBlank="1" showInputMessage="1" showErrorMessage="1" sqref="K3:L34 B1:AH1" xr:uid="{EB1C924F-1EB4-4997-8433-C3AEDA96FB27}">
      <formula1>"Yes,No"</formula1>
    </dataValidation>
    <dataValidation type="decimal" operator="greaterThanOrEqual" allowBlank="1" showInputMessage="1" showErrorMessage="1" sqref="R6:R26" xr:uid="{7252404E-24A7-48A4-83CF-8889F7B2AB48}">
      <formula1>0.1</formula1>
    </dataValidation>
    <dataValidation operator="greaterThanOrEqual" allowBlank="1" showInputMessage="1" showErrorMessage="1" sqref="R3:U5 R27:S34 T6:U34 V3:W34 F3:H34" xr:uid="{7041C46E-70A7-4EB6-85D5-CD3D8D27A41A}"/>
    <dataValidation type="decimal" operator="greaterThanOrEqual" allowBlank="1" showInputMessage="1" showErrorMessage="1" sqref="S6:S26" xr:uid="{309B806E-6BDF-49BD-A2A9-DB6F4F3BC67C}">
      <formula1>0</formula1>
    </dataValidation>
    <dataValidation type="list" allowBlank="1" showInputMessage="1" showErrorMessage="1" sqref="N3:P5" xr:uid="{E65DCCC7-05B6-4F11-9103-A6A691243E9A}">
      <formula1>$N$39:$N$60</formula1>
    </dataValidation>
    <dataValidation type="list" allowBlank="1" showInputMessage="1" showErrorMessage="1" sqref="Q3:Q34" xr:uid="{E6665EAA-DDAE-4694-82A5-01A2CEC15A9F}">
      <formula1>"Created,Sent,Due,N/A,Approved,Corrections Sent,See Next Cycle"</formula1>
    </dataValidation>
    <dataValidation type="whole" operator="greaterThanOrEqual" allowBlank="1" showInputMessage="1" showErrorMessage="1" sqref="D3:E34" xr:uid="{9E6AAAB2-5408-4810-A105-969D1ACE6272}">
      <formula1>0</formula1>
    </dataValidation>
  </dataValidations>
  <hyperlinks>
    <hyperlink ref="N27" r:id="rId1" xr:uid="{21F3F5DE-EAB1-4BD0-A302-6B1D84100F17}"/>
    <hyperlink ref="N30" r:id="rId2" xr:uid="{8C6F218A-A47A-49C2-B5BE-FA5A8A8D7CA8}"/>
    <hyperlink ref="N32" r:id="rId3" xr:uid="{621EB2F8-AB4B-4D7F-8777-22DC09E7F3D4}"/>
    <hyperlink ref="N33" r:id="rId4" xr:uid="{1FDFAC8D-A67B-45A7-80F1-B415D7A65AA6}"/>
    <hyperlink ref="N34" r:id="rId5" xr:uid="{A4F435B2-94AD-4BFD-BB9E-F68D13EEC516}"/>
    <hyperlink ref="N6" r:id="rId6" xr:uid="{F9FC6795-64C3-47DD-A986-BF0B56B43894}"/>
    <hyperlink ref="N25" r:id="rId7" xr:uid="{10A6ED3A-96DD-4C43-99BC-C25BC3FC04DB}"/>
    <hyperlink ref="N26" r:id="rId8" xr:uid="{C78F05B2-844B-4C89-8EDE-BF5F72A34FFC}"/>
    <hyperlink ref="N10" r:id="rId9" xr:uid="{07AFBCA1-6D25-4492-A1A9-73C32705CEE7}"/>
    <hyperlink ref="N13" r:id="rId10" xr:uid="{369CE4B9-360A-4B0F-A6D1-F3AF2C9A365C}"/>
    <hyperlink ref="N16" r:id="rId11" xr:uid="{DB61F06E-D42C-4097-B283-95802EFFE026}"/>
    <hyperlink ref="N19" r:id="rId12" xr:uid="{978ABCED-9503-429C-9579-86263AD6303B}"/>
    <hyperlink ref="N20" r:id="rId13" xr:uid="{F68D35B6-363D-407B-BAAD-C27A93FFBDAA}"/>
    <hyperlink ref="N21" r:id="rId14" xr:uid="{EC4D43DC-4FAF-4AC0-9096-FFEC50D6B2A6}"/>
    <hyperlink ref="N18" r:id="rId15" xr:uid="{8E1F8767-D014-4006-83CD-B2FE389E3866}"/>
    <hyperlink ref="N22" r:id="rId16" xr:uid="{D36272FA-CE8A-48F6-8677-C2EBFEF78254}"/>
    <hyperlink ref="N23" r:id="rId17" xr:uid="{81E31FFC-8BF3-40B6-9A4C-5CDBCAAD51E3}"/>
    <hyperlink ref="N11" r:id="rId18" xr:uid="{2AB11E19-3859-44CF-8859-869196C1B7F8}"/>
    <hyperlink ref="N12" r:id="rId19" xr:uid="{42C15C5D-DDAB-44AD-8E71-4FEAAED8A861}"/>
    <hyperlink ref="N14" r:id="rId20" xr:uid="{8AD35E5B-4D85-4455-B5E9-A47C290DA271}"/>
    <hyperlink ref="N15" r:id="rId21" xr:uid="{F5D436FD-3FF0-4C7C-BB5C-927407C1875D}"/>
    <hyperlink ref="N17" r:id="rId22" xr:uid="{99CBE5F7-E869-4073-A70B-40F288056AA5}"/>
    <hyperlink ref="N9" r:id="rId23" xr:uid="{9AEC2D86-F7F1-49AE-B9E5-30CD892B8BE1}"/>
    <hyperlink ref="N8" r:id="rId24" xr:uid="{64FC08C0-65DD-4079-93BA-12C50BC8F7A7}"/>
    <hyperlink ref="N7" r:id="rId25" xr:uid="{68A81277-97CF-42F8-B0BE-615F7372EA14}"/>
    <hyperlink ref="N24" r:id="rId26" xr:uid="{B251AC06-C365-41DF-972B-F9AB2688AAC4}"/>
    <hyperlink ref="N29" r:id="rId27" xr:uid="{DD786211-8FE4-4CA5-873D-2B2088FD7D99}"/>
    <hyperlink ref="N31" r:id="rId28" xr:uid="{345A48C6-41C1-49F5-84DE-456CDFF390E5}"/>
    <hyperlink ref="N28" r:id="rId29" xr:uid="{851DDED0-4E22-479E-920C-E89AB8B94841}"/>
  </hyperlinks>
  <pageMargins left="0.7" right="0.7" top="0.75" bottom="0.75" header="0.3" footer="0.3"/>
  <pageSetup orientation="portrait" r:id="rId30"/>
  <drawing r:id="rId31"/>
  <legacyDrawing r:id="rId32"/>
  <controls>
    <mc:AlternateContent xmlns:mc="http://schemas.openxmlformats.org/markup-compatibility/2006">
      <mc:Choice Requires="x14">
        <control shapeId="1033" r:id="rId35" name="UnhideColumns">
          <controlPr defaultSize="0" autoFill="0" autoLine="0" r:id="rId36">
            <anchor moveWithCells="1">
              <from>
                <xdr:col>1</xdr:col>
                <xdr:colOff>0</xdr:colOff>
                <xdr:row>37</xdr:row>
                <xdr:rowOff>28575</xdr:rowOff>
              </from>
              <to>
                <xdr:col>2</xdr:col>
                <xdr:colOff>652992</xdr:colOff>
                <xdr:row>39</xdr:row>
                <xdr:rowOff>133350</xdr:rowOff>
              </to>
            </anchor>
          </controlPr>
        </control>
      </mc:Choice>
      <mc:Fallback>
        <control shapeId="1033" r:id="rId35" name="UnhideColumns"/>
      </mc:Fallback>
    </mc:AlternateContent>
    <mc:AlternateContent xmlns:mc="http://schemas.openxmlformats.org/markup-compatibility/2006">
      <mc:Choice Requires="x14">
        <control shapeId="1035" r:id="rId33" name="CommandButton1">
          <controlPr defaultSize="0" autoFill="0" autoLine="0" r:id="rId37">
            <anchor moveWithCells="1">
              <from>
                <xdr:col>1</xdr:col>
                <xdr:colOff>0</xdr:colOff>
                <xdr:row>40</xdr:row>
                <xdr:rowOff>28575</xdr:rowOff>
              </from>
              <to>
                <xdr:col>2</xdr:col>
                <xdr:colOff>652992</xdr:colOff>
                <xdr:row>42</xdr:row>
                <xdr:rowOff>133350</xdr:rowOff>
              </to>
            </anchor>
          </controlPr>
        </control>
      </mc:Choice>
      <mc:Fallback>
        <control shapeId="1035" r:id="rId33" name="CommandButton1"/>
      </mc:Fallback>
    </mc:AlternateContent>
  </controls>
  <tableParts count="1">
    <tablePart r:id="rId38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113C5AE-3224-4BA4-814C-17C10FB3C2E2}">
          <x14:formula1>
            <xm:f>Users!$G$3:$G$27</xm:f>
          </x14:formula1>
          <xm:sqref>N6:N34</xm:sqref>
        </x14:dataValidation>
        <x14:dataValidation type="list" allowBlank="1" showInputMessage="1" showErrorMessage="1" xr:uid="{FA106415-9574-41F8-9AC2-6F924AB231A9}">
          <x14:formula1>
            <xm:f>Users!$F$3:$F$27</xm:f>
          </x14:formula1>
          <xm:sqref>Z6:Z34 X3:X34 AC6:AC34 AE3:AH34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7C955-448F-4583-9A9C-0A644864E6EF}">
  <sheetPr codeName="Sheet6"/>
  <dimension ref="A1:BB160"/>
  <sheetViews>
    <sheetView showGridLines="0" zoomScaleNormal="150" zoomScaleSheetLayoutView="100" workbookViewId="0">
      <pane ySplit="1" topLeftCell="A2" activePane="bottomLeft" state="frozen"/>
      <selection pane="bottomLeft" activeCell="I43" sqref="I43"/>
    </sheetView>
  </sheetViews>
  <sheetFormatPr defaultColWidth="8.609375" defaultRowHeight="15" x14ac:dyDescent="0.2"/>
  <cols>
    <col min="1" max="1" width="5.109375" style="239" customWidth="1"/>
    <col min="2" max="2" width="8.609375" style="7"/>
    <col min="3" max="3" width="7.80078125" style="5" customWidth="1"/>
    <col min="4" max="4" width="13.85546875" style="5" customWidth="1"/>
    <col min="5" max="5" width="12.10546875" style="5" customWidth="1"/>
    <col min="6" max="6" width="11.97265625" style="5" customWidth="1"/>
    <col min="7" max="7" width="13.1796875" style="5" customWidth="1"/>
    <col min="8" max="8" width="10.625" style="5" customWidth="1"/>
    <col min="9" max="9" width="54.61328125" style="5" customWidth="1"/>
    <col min="10" max="10" width="56.6328125" style="5" customWidth="1"/>
    <col min="11" max="12" width="8.609375" style="9"/>
    <col min="13" max="13" width="10.22265625" style="7" bestFit="1" customWidth="1"/>
    <col min="14" max="17" width="8.609375" style="7"/>
    <col min="18" max="18" width="10.76171875" style="7" bestFit="1" customWidth="1"/>
    <col min="19" max="19" width="13.5859375" style="7" customWidth="1"/>
    <col min="20" max="20" width="8.609375" style="9"/>
    <col min="21" max="21" width="13.5859375" style="7" customWidth="1"/>
    <col min="22" max="22" width="10.89453125" style="7" customWidth="1"/>
    <col min="23" max="24" width="13.5859375" style="7" customWidth="1"/>
    <col min="25" max="25" width="60.66796875" style="5" customWidth="1"/>
    <col min="26" max="26" width="3.8984375" style="5" customWidth="1"/>
    <col min="27" max="28" width="16.27734375" style="5" customWidth="1"/>
    <col min="29" max="29" width="23.9453125" style="5" customWidth="1"/>
    <col min="30" max="37" width="13.1796875" style="7" customWidth="1"/>
    <col min="38" max="38" width="28.65234375" style="5" customWidth="1"/>
    <col min="39" max="39" width="32.28515625" style="5" customWidth="1"/>
    <col min="40" max="40" width="8.609375" style="5"/>
    <col min="41" max="41" width="13.046875" style="5" customWidth="1"/>
    <col min="42" max="42" width="11.97265625" style="5" customWidth="1"/>
    <col min="43" max="43" width="18.96484375" style="5" customWidth="1"/>
    <col min="44" max="51" width="13.1796875" style="7" customWidth="1"/>
    <col min="52" max="53" width="24.078125" style="5" customWidth="1"/>
    <col min="54" max="54" width="4.16796875" style="5" customWidth="1"/>
    <col min="55" max="16384" width="8.609375" style="5"/>
  </cols>
  <sheetData>
    <row r="1" spans="1:54" s="22" customFormat="1" ht="54" customHeight="1" x14ac:dyDescent="0.2">
      <c r="A1" s="234"/>
      <c r="B1" s="138" t="s">
        <v>546</v>
      </c>
      <c r="C1" s="228" t="s">
        <v>205</v>
      </c>
      <c r="D1" s="228" t="s">
        <v>488</v>
      </c>
      <c r="E1" s="228" t="s">
        <v>489</v>
      </c>
      <c r="F1" s="228" t="s">
        <v>640</v>
      </c>
      <c r="G1" s="228" t="s">
        <v>641</v>
      </c>
      <c r="H1" s="228" t="s">
        <v>547</v>
      </c>
      <c r="I1" s="169" t="s">
        <v>761</v>
      </c>
      <c r="J1" s="242" t="s">
        <v>642</v>
      </c>
      <c r="K1" s="170" t="s">
        <v>643</v>
      </c>
      <c r="L1" s="170" t="s">
        <v>644</v>
      </c>
      <c r="M1" s="171" t="s">
        <v>645</v>
      </c>
      <c r="N1" s="171" t="s">
        <v>646</v>
      </c>
      <c r="O1" s="171" t="s">
        <v>647</v>
      </c>
      <c r="P1" s="171" t="s">
        <v>648</v>
      </c>
      <c r="Q1" s="171" t="s">
        <v>649</v>
      </c>
      <c r="R1" s="171" t="s">
        <v>650</v>
      </c>
      <c r="S1" s="171" t="s">
        <v>651</v>
      </c>
      <c r="T1" s="170" t="s">
        <v>652</v>
      </c>
      <c r="U1" s="171" t="s">
        <v>653</v>
      </c>
      <c r="V1" s="171" t="s">
        <v>654</v>
      </c>
      <c r="W1" s="171" t="s">
        <v>655</v>
      </c>
      <c r="X1" s="171" t="s">
        <v>656</v>
      </c>
      <c r="Y1" s="172" t="s">
        <v>491</v>
      </c>
      <c r="Z1" s="23"/>
      <c r="AA1" s="174" t="s">
        <v>657</v>
      </c>
      <c r="AB1" s="175" t="s">
        <v>658</v>
      </c>
      <c r="AC1" s="175" t="s">
        <v>659</v>
      </c>
      <c r="AD1" s="175" t="s">
        <v>660</v>
      </c>
      <c r="AE1" s="175" t="s">
        <v>661</v>
      </c>
      <c r="AF1" s="175" t="s">
        <v>662</v>
      </c>
      <c r="AG1" s="175" t="s">
        <v>663</v>
      </c>
      <c r="AH1" s="175" t="s">
        <v>664</v>
      </c>
      <c r="AI1" s="175" t="s">
        <v>665</v>
      </c>
      <c r="AJ1" s="175" t="s">
        <v>666</v>
      </c>
      <c r="AK1" s="175" t="s">
        <v>667</v>
      </c>
      <c r="AL1" s="175" t="s">
        <v>668</v>
      </c>
      <c r="AM1" s="175" t="s">
        <v>669</v>
      </c>
      <c r="AN1" s="23"/>
      <c r="AO1" s="173" t="s">
        <v>657</v>
      </c>
      <c r="AP1" s="173" t="s">
        <v>658</v>
      </c>
      <c r="AQ1" s="173" t="s">
        <v>659</v>
      </c>
      <c r="AR1" s="173" t="s">
        <v>660</v>
      </c>
      <c r="AS1" s="173" t="s">
        <v>661</v>
      </c>
      <c r="AT1" s="173" t="s">
        <v>662</v>
      </c>
      <c r="AU1" s="173" t="s">
        <v>663</v>
      </c>
      <c r="AV1" s="173" t="s">
        <v>664</v>
      </c>
      <c r="AW1" s="173" t="s">
        <v>665</v>
      </c>
      <c r="AX1" s="173" t="s">
        <v>666</v>
      </c>
      <c r="AY1" s="173" t="s">
        <v>667</v>
      </c>
      <c r="AZ1" s="173" t="s">
        <v>668</v>
      </c>
      <c r="BA1" s="173" t="s">
        <v>669</v>
      </c>
      <c r="BB1" s="138"/>
    </row>
    <row r="2" spans="1:54" x14ac:dyDescent="0.2">
      <c r="A2" s="235">
        <v>1</v>
      </c>
      <c r="B2" s="168">
        <v>1</v>
      </c>
      <c r="C2" s="142" t="s">
        <v>670</v>
      </c>
      <c r="D2" s="142" t="s">
        <v>671</v>
      </c>
      <c r="E2" s="142" t="s">
        <v>672</v>
      </c>
      <c r="F2" s="142"/>
      <c r="G2" s="142"/>
      <c r="H2" s="142" t="s">
        <v>586</v>
      </c>
      <c r="I2" s="10" t="str">
        <f t="shared" ref="I2:I33" si="0">_xlfn.CONCAT(C2:H2)</f>
        <v>CA.BldStd.Com.Valuation</v>
      </c>
      <c r="J2" s="10" t="s">
        <v>673</v>
      </c>
      <c r="K2" s="96">
        <v>0</v>
      </c>
      <c r="L2" s="96">
        <v>0</v>
      </c>
      <c r="M2" s="11">
        <v>130000</v>
      </c>
      <c r="N2" s="12"/>
      <c r="O2" s="12"/>
      <c r="P2" s="12"/>
      <c r="Q2" s="12"/>
      <c r="R2" s="13">
        <v>2.5000000000000001E-4</v>
      </c>
      <c r="S2" s="14">
        <f t="shared" ref="S2:S72" si="1">PRODUCT(K2:R2)</f>
        <v>0</v>
      </c>
      <c r="T2" s="96"/>
      <c r="U2" s="14">
        <f>X2*T2</f>
        <v>0</v>
      </c>
      <c r="V2" s="14"/>
      <c r="W2" s="14">
        <v>0</v>
      </c>
      <c r="X2" s="14">
        <f>S2-W2</f>
        <v>0</v>
      </c>
      <c r="Y2" s="89" t="s">
        <v>560</v>
      </c>
      <c r="Z2" s="24"/>
      <c r="AA2" s="144">
        <v>0.9</v>
      </c>
      <c r="AB2" s="34">
        <f t="shared" ref="AB2:AB72" si="2">AA2*U2</f>
        <v>0</v>
      </c>
      <c r="AC2" s="35" t="s">
        <v>674</v>
      </c>
      <c r="AD2" s="28"/>
      <c r="AE2" s="28"/>
      <c r="AF2" s="28"/>
      <c r="AG2" s="28"/>
      <c r="AH2" s="28"/>
      <c r="AI2" s="28"/>
      <c r="AJ2" s="28"/>
      <c r="AK2" s="28"/>
      <c r="AL2" s="29" t="str">
        <f t="shared" ref="AL2:AL14" si="3">CONCATENATE(AD2,AE2,AF2,AG2)</f>
        <v/>
      </c>
      <c r="AM2" s="29" t="str">
        <f t="shared" ref="AM2:AM14" si="4">CONCATENATE(AD2,AE2,AF2,AG2)</f>
        <v/>
      </c>
      <c r="AN2" s="24"/>
      <c r="AO2" s="40">
        <f>1-AA2</f>
        <v>9.9999999999999978E-2</v>
      </c>
      <c r="AP2" s="41">
        <f t="shared" ref="AP2:AP72" si="5">AO2*U2</f>
        <v>0</v>
      </c>
      <c r="AQ2" s="44" t="s">
        <v>189</v>
      </c>
      <c r="AR2" s="30">
        <v>6031</v>
      </c>
      <c r="AS2" s="30">
        <v>2975</v>
      </c>
      <c r="AT2" s="30">
        <v>120021</v>
      </c>
      <c r="AU2" s="30">
        <v>401310</v>
      </c>
      <c r="AV2" s="30"/>
      <c r="AW2" s="30" t="s">
        <v>675</v>
      </c>
      <c r="AX2" s="30"/>
      <c r="AY2" s="30"/>
      <c r="AZ2" s="31" t="str">
        <f t="shared" ref="AZ2:AZ6" si="6">CONCATENATE(AR2,AS2,AT2,AU2)</f>
        <v>60312975120021401310</v>
      </c>
      <c r="BA2" s="31" t="str">
        <f t="shared" ref="BA2:BA6" si="7">CONCATENATE(AR2,AS2,AT2,AU2)</f>
        <v>60312975120021401310</v>
      </c>
      <c r="BB2" s="136"/>
    </row>
    <row r="3" spans="1:54" x14ac:dyDescent="0.2">
      <c r="A3" s="236">
        <v>1</v>
      </c>
      <c r="B3" s="166">
        <f>SUM($A$2:$A3)</f>
        <v>2</v>
      </c>
      <c r="C3" s="142" t="s">
        <v>670</v>
      </c>
      <c r="D3" s="142" t="s">
        <v>671</v>
      </c>
      <c r="E3" s="142" t="s">
        <v>676</v>
      </c>
      <c r="F3" s="142"/>
      <c r="G3" s="142"/>
      <c r="H3" s="142" t="s">
        <v>586</v>
      </c>
      <c r="I3" s="15" t="str">
        <f t="shared" si="0"/>
        <v>CA.BldStd.Res.Valuation</v>
      </c>
      <c r="J3" s="15" t="s">
        <v>673</v>
      </c>
      <c r="K3" s="97"/>
      <c r="L3" s="97"/>
      <c r="M3" s="16">
        <v>130000</v>
      </c>
      <c r="N3" s="17"/>
      <c r="O3" s="17"/>
      <c r="P3" s="17"/>
      <c r="Q3" s="17"/>
      <c r="R3" s="18">
        <v>2.5000000000000001E-4</v>
      </c>
      <c r="S3" s="19">
        <f t="shared" si="1"/>
        <v>32.5</v>
      </c>
      <c r="T3" s="97"/>
      <c r="U3" s="19">
        <f t="shared" ref="U3:U72" si="8">X3*T3</f>
        <v>0</v>
      </c>
      <c r="V3" s="19"/>
      <c r="W3" s="19">
        <v>0</v>
      </c>
      <c r="X3" s="19">
        <f t="shared" ref="X3:X72" si="9">S3-W3</f>
        <v>32.5</v>
      </c>
      <c r="Y3" s="90" t="s">
        <v>677</v>
      </c>
      <c r="Z3" s="24"/>
      <c r="AA3" s="145">
        <v>0.9</v>
      </c>
      <c r="AB3" s="36">
        <f t="shared" si="2"/>
        <v>0</v>
      </c>
      <c r="AC3" s="37" t="s">
        <v>674</v>
      </c>
      <c r="AD3" s="30"/>
      <c r="AE3" s="30"/>
      <c r="AF3" s="30"/>
      <c r="AG3" s="30"/>
      <c r="AH3" s="30"/>
      <c r="AI3" s="30"/>
      <c r="AJ3" s="30"/>
      <c r="AK3" s="30"/>
      <c r="AL3" s="31" t="str">
        <f t="shared" si="3"/>
        <v/>
      </c>
      <c r="AM3" s="31" t="str">
        <f t="shared" si="4"/>
        <v/>
      </c>
      <c r="AN3" s="24"/>
      <c r="AO3" s="42">
        <f t="shared" ref="AO3:AO72" si="10">1-AA3</f>
        <v>9.9999999999999978E-2</v>
      </c>
      <c r="AP3" s="43">
        <f t="shared" si="5"/>
        <v>0</v>
      </c>
      <c r="AQ3" s="44" t="s">
        <v>189</v>
      </c>
      <c r="AR3" s="30">
        <v>6031</v>
      </c>
      <c r="AS3" s="30">
        <v>2975</v>
      </c>
      <c r="AT3" s="30">
        <v>120021</v>
      </c>
      <c r="AU3" s="30">
        <v>401310</v>
      </c>
      <c r="AV3" s="30"/>
      <c r="AW3" s="30" t="s">
        <v>675</v>
      </c>
      <c r="AX3" s="30"/>
      <c r="AY3" s="30"/>
      <c r="AZ3" s="31" t="str">
        <f t="shared" si="6"/>
        <v>60312975120021401310</v>
      </c>
      <c r="BA3" s="31" t="str">
        <f t="shared" si="7"/>
        <v>60312975120021401310</v>
      </c>
      <c r="BB3" s="136"/>
    </row>
    <row r="4" spans="1:54" ht="41.25" x14ac:dyDescent="0.2">
      <c r="A4" s="236">
        <v>1</v>
      </c>
      <c r="B4" s="166">
        <f>SUM($A$2:$A4)</f>
        <v>3</v>
      </c>
      <c r="C4" s="142" t="s">
        <v>670</v>
      </c>
      <c r="D4" s="142" t="s">
        <v>678</v>
      </c>
      <c r="E4" s="142" t="s">
        <v>672</v>
      </c>
      <c r="F4" s="142"/>
      <c r="G4" s="142"/>
      <c r="H4" s="142" t="s">
        <v>586</v>
      </c>
      <c r="I4" s="15" t="str">
        <f>_xlfn.CONCAT(C4:H4)</f>
        <v>CA.Seismic.Com.Valuation</v>
      </c>
      <c r="J4" s="243" t="s">
        <v>679</v>
      </c>
      <c r="K4" s="97">
        <v>0</v>
      </c>
      <c r="L4" s="97">
        <v>0</v>
      </c>
      <c r="M4" s="16">
        <v>130000</v>
      </c>
      <c r="N4" s="17"/>
      <c r="O4" s="17"/>
      <c r="P4" s="17"/>
      <c r="Q4" s="17"/>
      <c r="R4" s="18">
        <v>2.5000000000000001E-4</v>
      </c>
      <c r="S4" s="19">
        <f t="shared" si="1"/>
        <v>0</v>
      </c>
      <c r="T4" s="97"/>
      <c r="U4" s="19">
        <f t="shared" si="8"/>
        <v>0</v>
      </c>
      <c r="V4" s="19"/>
      <c r="W4" s="19">
        <v>0</v>
      </c>
      <c r="X4" s="19">
        <f t="shared" si="9"/>
        <v>0</v>
      </c>
      <c r="Y4" s="90" t="s">
        <v>680</v>
      </c>
      <c r="Z4" s="24"/>
      <c r="AA4" s="145">
        <v>0.9</v>
      </c>
      <c r="AB4" s="36">
        <f t="shared" si="2"/>
        <v>0</v>
      </c>
      <c r="AC4" s="37" t="s">
        <v>681</v>
      </c>
      <c r="AD4" s="30"/>
      <c r="AE4" s="30"/>
      <c r="AF4" s="30"/>
      <c r="AG4" s="30"/>
      <c r="AH4" s="30"/>
      <c r="AI4" s="30"/>
      <c r="AJ4" s="30"/>
      <c r="AK4" s="30"/>
      <c r="AL4" s="31" t="str">
        <f t="shared" si="3"/>
        <v/>
      </c>
      <c r="AM4" s="31" t="str">
        <f t="shared" si="4"/>
        <v/>
      </c>
      <c r="AN4" s="24"/>
      <c r="AO4" s="42">
        <f t="shared" si="10"/>
        <v>9.9999999999999978E-2</v>
      </c>
      <c r="AP4" s="43">
        <f t="shared" si="5"/>
        <v>0</v>
      </c>
      <c r="AQ4" s="44" t="s">
        <v>189</v>
      </c>
      <c r="AR4" s="30">
        <v>6031</v>
      </c>
      <c r="AS4" s="30">
        <v>2975</v>
      </c>
      <c r="AT4" s="30">
        <v>120021</v>
      </c>
      <c r="AU4" s="30">
        <v>401310</v>
      </c>
      <c r="AV4" s="30"/>
      <c r="AW4" s="30" t="s">
        <v>675</v>
      </c>
      <c r="AX4" s="30"/>
      <c r="AY4" s="30"/>
      <c r="AZ4" s="31" t="str">
        <f t="shared" si="6"/>
        <v>60312975120021401310</v>
      </c>
      <c r="BA4" s="31" t="str">
        <f t="shared" si="7"/>
        <v>60312975120021401310</v>
      </c>
      <c r="BB4" s="136"/>
    </row>
    <row r="5" spans="1:54" ht="41.25" x14ac:dyDescent="0.2">
      <c r="A5" s="236">
        <v>1</v>
      </c>
      <c r="B5" s="166">
        <f>SUM($A$2:$A5)</f>
        <v>4</v>
      </c>
      <c r="C5" s="142" t="s">
        <v>670</v>
      </c>
      <c r="D5" s="142" t="s">
        <v>678</v>
      </c>
      <c r="E5" s="142" t="s">
        <v>676</v>
      </c>
      <c r="F5" s="142"/>
      <c r="G5" s="142"/>
      <c r="H5" s="142" t="s">
        <v>586</v>
      </c>
      <c r="I5" s="15" t="str">
        <f t="shared" si="0"/>
        <v>CA.Seismic.Res.Valuation</v>
      </c>
      <c r="J5" s="243" t="s">
        <v>679</v>
      </c>
      <c r="K5" s="97"/>
      <c r="L5" s="97"/>
      <c r="M5" s="16">
        <v>130000</v>
      </c>
      <c r="N5" s="17"/>
      <c r="O5" s="17"/>
      <c r="P5" s="17"/>
      <c r="Q5" s="17"/>
      <c r="R5" s="18">
        <v>2.5000000000000001E-4</v>
      </c>
      <c r="S5" s="19">
        <f t="shared" si="1"/>
        <v>32.5</v>
      </c>
      <c r="T5" s="97"/>
      <c r="U5" s="19">
        <f t="shared" si="8"/>
        <v>0</v>
      </c>
      <c r="V5" s="19"/>
      <c r="W5" s="19">
        <v>0</v>
      </c>
      <c r="X5" s="19">
        <f t="shared" si="9"/>
        <v>32.5</v>
      </c>
      <c r="Y5" s="176"/>
      <c r="Z5" s="24"/>
      <c r="AA5" s="145">
        <v>0.9</v>
      </c>
      <c r="AB5" s="36">
        <f t="shared" si="2"/>
        <v>0</v>
      </c>
      <c r="AC5" s="37" t="s">
        <v>681</v>
      </c>
      <c r="AD5" s="30"/>
      <c r="AE5" s="30"/>
      <c r="AF5" s="30"/>
      <c r="AG5" s="30"/>
      <c r="AH5" s="30"/>
      <c r="AI5" s="30"/>
      <c r="AJ5" s="30"/>
      <c r="AK5" s="30"/>
      <c r="AL5" s="31" t="str">
        <f t="shared" si="3"/>
        <v/>
      </c>
      <c r="AM5" s="31" t="str">
        <f t="shared" si="4"/>
        <v/>
      </c>
      <c r="AN5" s="24"/>
      <c r="AO5" s="42">
        <f t="shared" si="10"/>
        <v>9.9999999999999978E-2</v>
      </c>
      <c r="AP5" s="43">
        <f t="shared" si="5"/>
        <v>0</v>
      </c>
      <c r="AQ5" s="44" t="s">
        <v>189</v>
      </c>
      <c r="AR5" s="30">
        <v>6031</v>
      </c>
      <c r="AS5" s="30">
        <v>2975</v>
      </c>
      <c r="AT5" s="30">
        <v>120021</v>
      </c>
      <c r="AU5" s="30">
        <v>401310</v>
      </c>
      <c r="AV5" s="30"/>
      <c r="AW5" s="30" t="s">
        <v>675</v>
      </c>
      <c r="AX5" s="30"/>
      <c r="AY5" s="30"/>
      <c r="AZ5" s="31" t="str">
        <f t="shared" si="6"/>
        <v>60312975120021401310</v>
      </c>
      <c r="BA5" s="31" t="str">
        <f t="shared" si="7"/>
        <v>60312975120021401310</v>
      </c>
      <c r="BB5" s="136"/>
    </row>
    <row r="6" spans="1:54" x14ac:dyDescent="0.2">
      <c r="A6" s="236">
        <v>1</v>
      </c>
      <c r="B6" s="166">
        <f>SUM($A$2:$A6)</f>
        <v>5</v>
      </c>
      <c r="C6" s="142" t="s">
        <v>518</v>
      </c>
      <c r="D6" s="142" t="s">
        <v>519</v>
      </c>
      <c r="E6" s="142" t="s">
        <v>682</v>
      </c>
      <c r="F6" s="142" t="s">
        <v>683</v>
      </c>
      <c r="G6" s="142"/>
      <c r="H6" s="142" t="s">
        <v>684</v>
      </c>
      <c r="I6" s="37" t="str">
        <f t="shared" si="0"/>
        <v>DCS.Bldg.Admin.Addressing.each</v>
      </c>
      <c r="J6" s="37"/>
      <c r="K6" s="97"/>
      <c r="L6" s="97"/>
      <c r="M6" s="107">
        <v>1</v>
      </c>
      <c r="N6" s="108"/>
      <c r="O6" s="108"/>
      <c r="P6" s="108"/>
      <c r="Q6" s="108"/>
      <c r="R6" s="109">
        <v>5</v>
      </c>
      <c r="S6" s="109">
        <f t="shared" ref="S6" si="11">PRODUCT(K6:R6)</f>
        <v>5</v>
      </c>
      <c r="T6" s="97">
        <v>1</v>
      </c>
      <c r="U6" s="109">
        <f t="shared" ref="U6" si="12">X6*T6</f>
        <v>5</v>
      </c>
      <c r="V6" s="109"/>
      <c r="W6" s="109">
        <v>0</v>
      </c>
      <c r="X6" s="109">
        <f t="shared" ref="X6" si="13">S6-W6</f>
        <v>5</v>
      </c>
      <c r="Y6" s="176"/>
      <c r="Z6" s="24"/>
      <c r="AA6" s="145">
        <v>1</v>
      </c>
      <c r="AB6" s="36">
        <f t="shared" ref="AB6" si="14">AA6*U6</f>
        <v>5</v>
      </c>
      <c r="AC6" s="37" t="s">
        <v>189</v>
      </c>
      <c r="AD6" s="30"/>
      <c r="AE6" s="30"/>
      <c r="AF6" s="30"/>
      <c r="AG6" s="30"/>
      <c r="AH6" s="30"/>
      <c r="AI6" s="30"/>
      <c r="AJ6" s="30"/>
      <c r="AK6" s="30"/>
      <c r="AL6" s="31" t="str">
        <f t="shared" ref="AL6" si="15">CONCATENATE(AD6,AE6,AF6,AG6)</f>
        <v/>
      </c>
      <c r="AM6" s="31" t="str">
        <f t="shared" ref="AM6" si="16">CONCATENATE(AD6,AE6,AF6,AG6)</f>
        <v/>
      </c>
      <c r="AN6" s="24"/>
      <c r="AO6" s="42">
        <f t="shared" ref="AO6" si="17">1-AA6</f>
        <v>0</v>
      </c>
      <c r="AP6" s="43">
        <f t="shared" ref="AP6" si="18">AO6*U6</f>
        <v>0</v>
      </c>
      <c r="AQ6" s="44" t="s">
        <v>55</v>
      </c>
      <c r="AR6" s="30"/>
      <c r="AS6" s="30"/>
      <c r="AT6" s="30"/>
      <c r="AU6" s="30"/>
      <c r="AV6" s="30"/>
      <c r="AW6" s="30"/>
      <c r="AX6" s="30"/>
      <c r="AY6" s="30"/>
      <c r="AZ6" s="31" t="str">
        <f t="shared" si="6"/>
        <v/>
      </c>
      <c r="BA6" s="31" t="str">
        <f t="shared" si="7"/>
        <v/>
      </c>
      <c r="BB6" s="136"/>
    </row>
    <row r="7" spans="1:54" x14ac:dyDescent="0.2">
      <c r="A7" s="236">
        <v>1</v>
      </c>
      <c r="B7" s="166">
        <f>SUM($A$2:$A7)</f>
        <v>6</v>
      </c>
      <c r="C7" s="142" t="s">
        <v>518</v>
      </c>
      <c r="D7" s="142" t="s">
        <v>519</v>
      </c>
      <c r="E7" s="142" t="s">
        <v>682</v>
      </c>
      <c r="F7" s="142" t="s">
        <v>685</v>
      </c>
      <c r="G7" s="142"/>
      <c r="H7" s="142" t="s">
        <v>684</v>
      </c>
      <c r="I7" s="37" t="str">
        <f t="shared" si="0"/>
        <v>DCS.Bldg.Admin.AgExempt.each</v>
      </c>
      <c r="J7" s="37"/>
      <c r="K7" s="97"/>
      <c r="L7" s="97"/>
      <c r="M7" s="107">
        <v>1</v>
      </c>
      <c r="N7" s="108"/>
      <c r="O7" s="108"/>
      <c r="P7" s="108"/>
      <c r="Q7" s="108"/>
      <c r="R7" s="109">
        <v>5</v>
      </c>
      <c r="S7" s="109">
        <f t="shared" ref="S7" si="19">PRODUCT(K7:R7)</f>
        <v>5</v>
      </c>
      <c r="T7" s="97">
        <v>1</v>
      </c>
      <c r="U7" s="109">
        <f t="shared" ref="U7" si="20">X7*T7</f>
        <v>5</v>
      </c>
      <c r="V7" s="109"/>
      <c r="W7" s="109">
        <v>0</v>
      </c>
      <c r="X7" s="109">
        <f t="shared" ref="X7" si="21">S7-W7</f>
        <v>5</v>
      </c>
      <c r="Y7" s="176"/>
      <c r="Z7" s="24"/>
      <c r="AA7" s="145">
        <v>1</v>
      </c>
      <c r="AB7" s="36">
        <f t="shared" ref="AB7" si="22">AA7*U7</f>
        <v>5</v>
      </c>
      <c r="AC7" s="37" t="s">
        <v>189</v>
      </c>
      <c r="AD7" s="30"/>
      <c r="AE7" s="30"/>
      <c r="AF7" s="30"/>
      <c r="AG7" s="30"/>
      <c r="AH7" s="30"/>
      <c r="AI7" s="30"/>
      <c r="AJ7" s="30"/>
      <c r="AK7" s="30"/>
      <c r="AL7" s="31" t="str">
        <f t="shared" ref="AL7" si="23">CONCATENATE(AD7,AE7,AF7,AG7)</f>
        <v/>
      </c>
      <c r="AM7" s="31" t="str">
        <f t="shared" ref="AM7" si="24">CONCATENATE(AD7,AE7,AF7,AG7)</f>
        <v/>
      </c>
      <c r="AN7" s="24"/>
      <c r="AO7" s="42">
        <f t="shared" ref="AO7" si="25">1-AA7</f>
        <v>0</v>
      </c>
      <c r="AP7" s="43">
        <f t="shared" ref="AP7" si="26">AO7*U7</f>
        <v>0</v>
      </c>
      <c r="AQ7" s="44" t="s">
        <v>55</v>
      </c>
      <c r="AR7" s="30"/>
      <c r="AS7" s="30"/>
      <c r="AT7" s="30"/>
      <c r="AU7" s="30"/>
      <c r="AV7" s="30"/>
      <c r="AW7" s="30"/>
      <c r="AX7" s="30"/>
      <c r="AY7" s="30"/>
      <c r="AZ7" s="31" t="str">
        <f t="shared" ref="AZ7" si="27">CONCATENATE(AR7,AS7,AT7,AU7)</f>
        <v/>
      </c>
      <c r="BA7" s="31" t="str">
        <f t="shared" ref="BA7" si="28">CONCATENATE(AR7,AS7,AT7,AU7)</f>
        <v/>
      </c>
      <c r="BB7" s="136"/>
    </row>
    <row r="8" spans="1:54" x14ac:dyDescent="0.2">
      <c r="A8" s="236">
        <v>1</v>
      </c>
      <c r="B8" s="166">
        <f>SUM($A$2:$A8)</f>
        <v>7</v>
      </c>
      <c r="C8" s="142" t="s">
        <v>518</v>
      </c>
      <c r="D8" s="142" t="s">
        <v>519</v>
      </c>
      <c r="E8" s="142" t="s">
        <v>682</v>
      </c>
      <c r="F8" s="142" t="s">
        <v>686</v>
      </c>
      <c r="G8" s="142"/>
      <c r="H8" s="142" t="s">
        <v>684</v>
      </c>
      <c r="I8" s="37" t="str">
        <f t="shared" si="0"/>
        <v>DCS.Bldg.Admin.AMMR.each</v>
      </c>
      <c r="J8" s="37"/>
      <c r="K8" s="97"/>
      <c r="L8" s="97"/>
      <c r="M8" s="107">
        <v>1</v>
      </c>
      <c r="N8" s="108"/>
      <c r="O8" s="108"/>
      <c r="P8" s="108"/>
      <c r="Q8" s="108"/>
      <c r="R8" s="109">
        <v>5</v>
      </c>
      <c r="S8" s="109">
        <f t="shared" ref="S8" si="29">PRODUCT(K8:R8)</f>
        <v>5</v>
      </c>
      <c r="T8" s="97">
        <v>1</v>
      </c>
      <c r="U8" s="109">
        <f t="shared" ref="U8" si="30">X8*T8</f>
        <v>5</v>
      </c>
      <c r="V8" s="109"/>
      <c r="W8" s="109">
        <v>0</v>
      </c>
      <c r="X8" s="109">
        <f t="shared" ref="X8" si="31">S8-W8</f>
        <v>5</v>
      </c>
      <c r="Y8" s="176"/>
      <c r="Z8" s="24"/>
      <c r="AA8" s="145">
        <v>1</v>
      </c>
      <c r="AB8" s="36">
        <f t="shared" ref="AB8" si="32">AA8*U8</f>
        <v>5</v>
      </c>
      <c r="AC8" s="37" t="s">
        <v>189</v>
      </c>
      <c r="AD8" s="30"/>
      <c r="AE8" s="30"/>
      <c r="AF8" s="30"/>
      <c r="AG8" s="30"/>
      <c r="AH8" s="30"/>
      <c r="AI8" s="30"/>
      <c r="AJ8" s="30"/>
      <c r="AK8" s="30"/>
      <c r="AL8" s="31" t="str">
        <f t="shared" ref="AL8" si="33">CONCATENATE(AD8,AE8,AF8,AG8)</f>
        <v/>
      </c>
      <c r="AM8" s="31" t="str">
        <f t="shared" ref="AM8" si="34">CONCATENATE(AD8,AE8,AF8,AG8)</f>
        <v/>
      </c>
      <c r="AN8" s="24"/>
      <c r="AO8" s="42">
        <f t="shared" ref="AO8" si="35">1-AA8</f>
        <v>0</v>
      </c>
      <c r="AP8" s="43">
        <f t="shared" ref="AP8" si="36">AO8*U8</f>
        <v>0</v>
      </c>
      <c r="AQ8" s="44" t="s">
        <v>55</v>
      </c>
      <c r="AR8" s="30"/>
      <c r="AS8" s="30"/>
      <c r="AT8" s="30"/>
      <c r="AU8" s="30"/>
      <c r="AV8" s="30"/>
      <c r="AW8" s="30"/>
      <c r="AX8" s="30"/>
      <c r="AY8" s="30"/>
      <c r="AZ8" s="31" t="str">
        <f t="shared" ref="AZ8" si="37">CONCATENATE(AR8,AS8,AT8,AU8)</f>
        <v/>
      </c>
      <c r="BA8" s="31" t="str">
        <f t="shared" ref="BA8" si="38">CONCATENATE(AR8,AS8,AT8,AU8)</f>
        <v/>
      </c>
      <c r="BB8" s="136"/>
    </row>
    <row r="9" spans="1:54" x14ac:dyDescent="0.2">
      <c r="A9" s="236">
        <v>1</v>
      </c>
      <c r="B9" s="166">
        <f>SUM($A$2:$A9)</f>
        <v>8</v>
      </c>
      <c r="C9" s="142" t="s">
        <v>518</v>
      </c>
      <c r="D9" s="142" t="s">
        <v>519</v>
      </c>
      <c r="E9" s="142" t="s">
        <v>682</v>
      </c>
      <c r="F9" s="142" t="s">
        <v>687</v>
      </c>
      <c r="G9" s="142" t="s">
        <v>762</v>
      </c>
      <c r="H9" s="142" t="s">
        <v>688</v>
      </c>
      <c r="I9" s="37" t="str">
        <f t="shared" si="0"/>
        <v>DCS.Bldg.Admin.Print.Letter.perPage</v>
      </c>
      <c r="J9" s="37"/>
      <c r="K9" s="97"/>
      <c r="L9" s="97"/>
      <c r="M9" s="107">
        <v>1</v>
      </c>
      <c r="N9" s="108"/>
      <c r="O9" s="108"/>
      <c r="P9" s="108"/>
      <c r="Q9" s="108"/>
      <c r="R9" s="109">
        <v>5</v>
      </c>
      <c r="S9" s="109">
        <f t="shared" si="1"/>
        <v>5</v>
      </c>
      <c r="T9" s="97">
        <v>1</v>
      </c>
      <c r="U9" s="109">
        <f t="shared" si="8"/>
        <v>5</v>
      </c>
      <c r="V9" s="109"/>
      <c r="W9" s="109">
        <v>0</v>
      </c>
      <c r="X9" s="109">
        <f t="shared" si="9"/>
        <v>5</v>
      </c>
      <c r="Y9" s="176"/>
      <c r="Z9" s="24"/>
      <c r="AA9" s="145">
        <v>1</v>
      </c>
      <c r="AB9" s="36">
        <f t="shared" si="2"/>
        <v>5</v>
      </c>
      <c r="AC9" s="37" t="s">
        <v>189</v>
      </c>
      <c r="AD9" s="30"/>
      <c r="AE9" s="30"/>
      <c r="AF9" s="30"/>
      <c r="AG9" s="30"/>
      <c r="AH9" s="30"/>
      <c r="AI9" s="30"/>
      <c r="AJ9" s="30"/>
      <c r="AK9" s="30"/>
      <c r="AL9" s="31" t="str">
        <f t="shared" si="3"/>
        <v/>
      </c>
      <c r="AM9" s="31" t="str">
        <f t="shared" si="4"/>
        <v/>
      </c>
      <c r="AN9" s="24"/>
      <c r="AO9" s="42">
        <f t="shared" si="10"/>
        <v>0</v>
      </c>
      <c r="AP9" s="43">
        <f t="shared" si="5"/>
        <v>0</v>
      </c>
      <c r="AQ9" s="44" t="s">
        <v>55</v>
      </c>
      <c r="AR9" s="30"/>
      <c r="AS9" s="30"/>
      <c r="AT9" s="30"/>
      <c r="AU9" s="30"/>
      <c r="AV9" s="30"/>
      <c r="AW9" s="30"/>
      <c r="AX9" s="30"/>
      <c r="AY9" s="30"/>
      <c r="AZ9" s="31" t="str">
        <f t="shared" ref="AZ9:AZ14" si="39">CONCATENATE(AR9,AS9,AT9,AU9)</f>
        <v/>
      </c>
      <c r="BA9" s="31" t="str">
        <f t="shared" ref="BA9:BA14" si="40">CONCATENATE(AR9,AS9,AT9,AU9)</f>
        <v/>
      </c>
      <c r="BB9" s="136"/>
    </row>
    <row r="10" spans="1:54" x14ac:dyDescent="0.2">
      <c r="A10" s="236">
        <v>1</v>
      </c>
      <c r="B10" s="166">
        <f>SUM($A$2:$A10)</f>
        <v>9</v>
      </c>
      <c r="C10" s="142" t="s">
        <v>518</v>
      </c>
      <c r="D10" s="142" t="s">
        <v>519</v>
      </c>
      <c r="E10" s="142" t="s">
        <v>682</v>
      </c>
      <c r="F10" s="142" t="s">
        <v>687</v>
      </c>
      <c r="G10" s="142" t="s">
        <v>763</v>
      </c>
      <c r="H10" s="142" t="s">
        <v>688</v>
      </c>
      <c r="I10" s="37" t="str">
        <f t="shared" si="0"/>
        <v>DCS.Bldg.Admin.Print.Ledger.perPage</v>
      </c>
      <c r="J10" s="37"/>
      <c r="K10" s="97"/>
      <c r="L10" s="97"/>
      <c r="M10" s="107">
        <v>1</v>
      </c>
      <c r="N10" s="108"/>
      <c r="O10" s="108"/>
      <c r="P10" s="108"/>
      <c r="Q10" s="108"/>
      <c r="R10" s="109">
        <v>1</v>
      </c>
      <c r="S10" s="109">
        <f t="shared" si="1"/>
        <v>1</v>
      </c>
      <c r="T10" s="97">
        <v>1</v>
      </c>
      <c r="U10" s="109">
        <f t="shared" si="8"/>
        <v>1</v>
      </c>
      <c r="V10" s="109"/>
      <c r="W10" s="109">
        <v>0</v>
      </c>
      <c r="X10" s="109">
        <f t="shared" si="9"/>
        <v>1</v>
      </c>
      <c r="Y10" s="176"/>
      <c r="Z10" s="24"/>
      <c r="AA10" s="145">
        <v>1</v>
      </c>
      <c r="AB10" s="36">
        <f t="shared" si="2"/>
        <v>1</v>
      </c>
      <c r="AC10" s="37" t="s">
        <v>189</v>
      </c>
      <c r="AD10" s="30"/>
      <c r="AE10" s="30"/>
      <c r="AF10" s="30"/>
      <c r="AG10" s="30"/>
      <c r="AH10" s="30"/>
      <c r="AI10" s="30"/>
      <c r="AJ10" s="30"/>
      <c r="AK10" s="30"/>
      <c r="AL10" s="31" t="str">
        <f t="shared" si="3"/>
        <v/>
      </c>
      <c r="AM10" s="31" t="str">
        <f t="shared" si="4"/>
        <v/>
      </c>
      <c r="AN10" s="24"/>
      <c r="AO10" s="42">
        <f t="shared" si="10"/>
        <v>0</v>
      </c>
      <c r="AP10" s="43">
        <f t="shared" si="5"/>
        <v>0</v>
      </c>
      <c r="AQ10" s="44" t="s">
        <v>55</v>
      </c>
      <c r="AR10" s="30"/>
      <c r="AS10" s="30"/>
      <c r="AT10" s="30"/>
      <c r="AU10" s="30"/>
      <c r="AV10" s="30"/>
      <c r="AW10" s="30"/>
      <c r="AX10" s="30"/>
      <c r="AY10" s="30"/>
      <c r="AZ10" s="31" t="str">
        <f t="shared" si="39"/>
        <v/>
      </c>
      <c r="BA10" s="31" t="str">
        <f t="shared" si="40"/>
        <v/>
      </c>
      <c r="BB10" s="136"/>
    </row>
    <row r="11" spans="1:54" x14ac:dyDescent="0.2">
      <c r="A11" s="236">
        <v>1</v>
      </c>
      <c r="B11" s="166">
        <f>SUM($A$2:$A11)</f>
        <v>10</v>
      </c>
      <c r="C11" s="142" t="s">
        <v>518</v>
      </c>
      <c r="D11" s="142" t="s">
        <v>519</v>
      </c>
      <c r="E11" s="142" t="s">
        <v>682</v>
      </c>
      <c r="F11" s="142" t="s">
        <v>687</v>
      </c>
      <c r="G11" s="142" t="s">
        <v>764</v>
      </c>
      <c r="H11" s="142" t="s">
        <v>688</v>
      </c>
      <c r="I11" s="37" t="str">
        <f t="shared" si="0"/>
        <v>DCS.Bldg.Admin.Print.Large.perPage</v>
      </c>
      <c r="J11" s="37"/>
      <c r="K11" s="97"/>
      <c r="L11" s="97"/>
      <c r="M11" s="107">
        <v>1</v>
      </c>
      <c r="N11" s="108"/>
      <c r="O11" s="108"/>
      <c r="P11" s="108"/>
      <c r="Q11" s="108"/>
      <c r="R11" s="109">
        <v>0.5</v>
      </c>
      <c r="S11" s="109">
        <f t="shared" si="1"/>
        <v>0.5</v>
      </c>
      <c r="T11" s="97">
        <v>1</v>
      </c>
      <c r="U11" s="109">
        <f t="shared" si="8"/>
        <v>0.5</v>
      </c>
      <c r="V11" s="109"/>
      <c r="W11" s="109">
        <v>0</v>
      </c>
      <c r="X11" s="109">
        <f t="shared" si="9"/>
        <v>0.5</v>
      </c>
      <c r="Y11" s="176"/>
      <c r="Z11" s="24"/>
      <c r="AA11" s="145">
        <v>1</v>
      </c>
      <c r="AB11" s="36">
        <f t="shared" si="2"/>
        <v>0.5</v>
      </c>
      <c r="AC11" s="37" t="s">
        <v>189</v>
      </c>
      <c r="AD11" s="30"/>
      <c r="AE11" s="30"/>
      <c r="AF11" s="30"/>
      <c r="AG11" s="30"/>
      <c r="AH11" s="30"/>
      <c r="AI11" s="30"/>
      <c r="AJ11" s="30"/>
      <c r="AK11" s="30"/>
      <c r="AL11" s="31" t="str">
        <f t="shared" si="3"/>
        <v/>
      </c>
      <c r="AM11" s="31" t="str">
        <f t="shared" si="4"/>
        <v/>
      </c>
      <c r="AN11" s="24"/>
      <c r="AO11" s="42">
        <f t="shared" si="10"/>
        <v>0</v>
      </c>
      <c r="AP11" s="43">
        <f t="shared" si="5"/>
        <v>0</v>
      </c>
      <c r="AQ11" s="44" t="s">
        <v>55</v>
      </c>
      <c r="AR11" s="30"/>
      <c r="AS11" s="30"/>
      <c r="AT11" s="30"/>
      <c r="AU11" s="30"/>
      <c r="AV11" s="30"/>
      <c r="AW11" s="30"/>
      <c r="AX11" s="30"/>
      <c r="AY11" s="30"/>
      <c r="AZ11" s="31" t="str">
        <f t="shared" si="39"/>
        <v/>
      </c>
      <c r="BA11" s="31" t="str">
        <f t="shared" si="40"/>
        <v/>
      </c>
      <c r="BB11" s="136"/>
    </row>
    <row r="12" spans="1:54" x14ac:dyDescent="0.2">
      <c r="A12" s="236">
        <v>1</v>
      </c>
      <c r="B12" s="166">
        <f>SUM($A$2:$A12)</f>
        <v>11</v>
      </c>
      <c r="C12" s="142" t="s">
        <v>518</v>
      </c>
      <c r="D12" s="142" t="s">
        <v>519</v>
      </c>
      <c r="E12" s="142" t="s">
        <v>682</v>
      </c>
      <c r="F12" s="142" t="s">
        <v>689</v>
      </c>
      <c r="G12" s="142" t="s">
        <v>762</v>
      </c>
      <c r="H12" s="142" t="s">
        <v>688</v>
      </c>
      <c r="I12" s="37" t="str">
        <f t="shared" si="0"/>
        <v>DCS.Bldg.Admin.Scan.Letter.perPage</v>
      </c>
      <c r="J12" s="37"/>
      <c r="K12" s="97"/>
      <c r="L12" s="97"/>
      <c r="M12" s="107">
        <v>1</v>
      </c>
      <c r="N12" s="108"/>
      <c r="O12" s="108"/>
      <c r="P12" s="108"/>
      <c r="Q12" s="108"/>
      <c r="R12" s="109">
        <v>5</v>
      </c>
      <c r="S12" s="109">
        <f t="shared" si="1"/>
        <v>5</v>
      </c>
      <c r="T12" s="97">
        <v>1</v>
      </c>
      <c r="U12" s="109">
        <f t="shared" si="8"/>
        <v>5</v>
      </c>
      <c r="V12" s="109"/>
      <c r="W12" s="109">
        <v>0</v>
      </c>
      <c r="X12" s="109">
        <f t="shared" si="9"/>
        <v>5</v>
      </c>
      <c r="Y12" s="176"/>
      <c r="Z12" s="24"/>
      <c r="AA12" s="145">
        <v>1</v>
      </c>
      <c r="AB12" s="36">
        <f t="shared" si="2"/>
        <v>5</v>
      </c>
      <c r="AC12" s="37" t="s">
        <v>189</v>
      </c>
      <c r="AD12" s="30"/>
      <c r="AE12" s="30"/>
      <c r="AF12" s="30"/>
      <c r="AG12" s="30"/>
      <c r="AH12" s="30"/>
      <c r="AI12" s="30"/>
      <c r="AJ12" s="30"/>
      <c r="AK12" s="30"/>
      <c r="AL12" s="31" t="str">
        <f t="shared" si="3"/>
        <v/>
      </c>
      <c r="AM12" s="31" t="str">
        <f t="shared" si="4"/>
        <v/>
      </c>
      <c r="AN12" s="24"/>
      <c r="AO12" s="42">
        <f t="shared" si="10"/>
        <v>0</v>
      </c>
      <c r="AP12" s="43">
        <f t="shared" si="5"/>
        <v>0</v>
      </c>
      <c r="AQ12" s="44" t="s">
        <v>55</v>
      </c>
      <c r="AR12" s="30"/>
      <c r="AS12" s="30"/>
      <c r="AT12" s="30"/>
      <c r="AU12" s="30"/>
      <c r="AV12" s="30"/>
      <c r="AW12" s="30"/>
      <c r="AX12" s="30"/>
      <c r="AY12" s="30"/>
      <c r="AZ12" s="31" t="str">
        <f t="shared" si="39"/>
        <v/>
      </c>
      <c r="BA12" s="31" t="str">
        <f t="shared" si="40"/>
        <v/>
      </c>
      <c r="BB12" s="136"/>
    </row>
    <row r="13" spans="1:54" x14ac:dyDescent="0.2">
      <c r="A13" s="236">
        <v>1</v>
      </c>
      <c r="B13" s="166">
        <f>SUM($A$2:$A13)</f>
        <v>12</v>
      </c>
      <c r="C13" s="142" t="s">
        <v>518</v>
      </c>
      <c r="D13" s="142" t="s">
        <v>519</v>
      </c>
      <c r="E13" s="142" t="s">
        <v>682</v>
      </c>
      <c r="F13" s="142" t="s">
        <v>689</v>
      </c>
      <c r="G13" s="142" t="s">
        <v>763</v>
      </c>
      <c r="H13" s="142" t="s">
        <v>688</v>
      </c>
      <c r="I13" s="37" t="str">
        <f t="shared" si="0"/>
        <v>DCS.Bldg.Admin.Scan.Ledger.perPage</v>
      </c>
      <c r="J13" s="37"/>
      <c r="K13" s="97"/>
      <c r="L13" s="97"/>
      <c r="M13" s="107">
        <v>1</v>
      </c>
      <c r="N13" s="108"/>
      <c r="O13" s="108"/>
      <c r="P13" s="108"/>
      <c r="Q13" s="108"/>
      <c r="R13" s="109">
        <v>1</v>
      </c>
      <c r="S13" s="109">
        <f t="shared" si="1"/>
        <v>1</v>
      </c>
      <c r="T13" s="97">
        <v>1</v>
      </c>
      <c r="U13" s="109">
        <f t="shared" si="8"/>
        <v>1</v>
      </c>
      <c r="V13" s="109"/>
      <c r="W13" s="109">
        <v>0</v>
      </c>
      <c r="X13" s="109">
        <f t="shared" si="9"/>
        <v>1</v>
      </c>
      <c r="Y13" s="176"/>
      <c r="Z13" s="24"/>
      <c r="AA13" s="145">
        <v>1</v>
      </c>
      <c r="AB13" s="36">
        <f t="shared" si="2"/>
        <v>1</v>
      </c>
      <c r="AC13" s="37" t="s">
        <v>189</v>
      </c>
      <c r="AD13" s="30"/>
      <c r="AE13" s="30"/>
      <c r="AF13" s="30"/>
      <c r="AG13" s="30"/>
      <c r="AH13" s="30"/>
      <c r="AI13" s="30"/>
      <c r="AJ13" s="30"/>
      <c r="AK13" s="30"/>
      <c r="AL13" s="31" t="str">
        <f t="shared" si="3"/>
        <v/>
      </c>
      <c r="AM13" s="31" t="str">
        <f t="shared" si="4"/>
        <v/>
      </c>
      <c r="AN13" s="24"/>
      <c r="AO13" s="42">
        <f t="shared" si="10"/>
        <v>0</v>
      </c>
      <c r="AP13" s="43">
        <f t="shared" si="5"/>
        <v>0</v>
      </c>
      <c r="AQ13" s="44" t="s">
        <v>55</v>
      </c>
      <c r="AR13" s="30"/>
      <c r="AS13" s="30"/>
      <c r="AT13" s="30"/>
      <c r="AU13" s="30"/>
      <c r="AV13" s="30"/>
      <c r="AW13" s="30"/>
      <c r="AX13" s="30"/>
      <c r="AY13" s="30"/>
      <c r="AZ13" s="31" t="str">
        <f t="shared" si="39"/>
        <v/>
      </c>
      <c r="BA13" s="31" t="str">
        <f t="shared" si="40"/>
        <v/>
      </c>
      <c r="BB13" s="136"/>
    </row>
    <row r="14" spans="1:54" x14ac:dyDescent="0.2">
      <c r="A14" s="236">
        <v>1</v>
      </c>
      <c r="B14" s="166">
        <f>SUM($A$2:$A14)</f>
        <v>13</v>
      </c>
      <c r="C14" s="142" t="s">
        <v>518</v>
      </c>
      <c r="D14" s="142" t="s">
        <v>519</v>
      </c>
      <c r="E14" s="142" t="s">
        <v>682</v>
      </c>
      <c r="F14" s="142" t="s">
        <v>689</v>
      </c>
      <c r="G14" s="142" t="s">
        <v>764</v>
      </c>
      <c r="H14" s="142" t="s">
        <v>688</v>
      </c>
      <c r="I14" s="37" t="str">
        <f t="shared" si="0"/>
        <v>DCS.Bldg.Admin.Scan.Large.perPage</v>
      </c>
      <c r="J14" s="37"/>
      <c r="K14" s="97"/>
      <c r="L14" s="97"/>
      <c r="M14" s="107">
        <v>1</v>
      </c>
      <c r="N14" s="108"/>
      <c r="O14" s="108"/>
      <c r="P14" s="108"/>
      <c r="Q14" s="108"/>
      <c r="R14" s="109">
        <v>0.5</v>
      </c>
      <c r="S14" s="109">
        <f t="shared" si="1"/>
        <v>0.5</v>
      </c>
      <c r="T14" s="97">
        <v>1</v>
      </c>
      <c r="U14" s="109">
        <f t="shared" si="8"/>
        <v>0.5</v>
      </c>
      <c r="V14" s="109"/>
      <c r="W14" s="109">
        <v>0</v>
      </c>
      <c r="X14" s="109">
        <f t="shared" si="9"/>
        <v>0.5</v>
      </c>
      <c r="Y14" s="176"/>
      <c r="Z14" s="24"/>
      <c r="AA14" s="145">
        <v>1</v>
      </c>
      <c r="AB14" s="36">
        <f t="shared" si="2"/>
        <v>0.5</v>
      </c>
      <c r="AC14" s="37" t="s">
        <v>189</v>
      </c>
      <c r="AD14" s="30"/>
      <c r="AE14" s="30"/>
      <c r="AF14" s="30"/>
      <c r="AG14" s="30"/>
      <c r="AH14" s="30"/>
      <c r="AI14" s="30"/>
      <c r="AJ14" s="30"/>
      <c r="AK14" s="30"/>
      <c r="AL14" s="31" t="str">
        <f t="shared" si="3"/>
        <v/>
      </c>
      <c r="AM14" s="31" t="str">
        <f t="shared" si="4"/>
        <v/>
      </c>
      <c r="AN14" s="24"/>
      <c r="AO14" s="42">
        <f t="shared" si="10"/>
        <v>0</v>
      </c>
      <c r="AP14" s="43">
        <f t="shared" si="5"/>
        <v>0</v>
      </c>
      <c r="AQ14" s="44" t="s">
        <v>55</v>
      </c>
      <c r="AR14" s="30"/>
      <c r="AS14" s="30"/>
      <c r="AT14" s="30"/>
      <c r="AU14" s="30"/>
      <c r="AV14" s="30"/>
      <c r="AW14" s="30"/>
      <c r="AX14" s="30"/>
      <c r="AY14" s="30"/>
      <c r="AZ14" s="31" t="str">
        <f t="shared" si="39"/>
        <v/>
      </c>
      <c r="BA14" s="31" t="str">
        <f t="shared" si="40"/>
        <v/>
      </c>
      <c r="BB14" s="136"/>
    </row>
    <row r="15" spans="1:54" x14ac:dyDescent="0.2">
      <c r="A15" s="236">
        <v>1</v>
      </c>
      <c r="B15" s="166">
        <f>SUM($A$2:$A15)</f>
        <v>14</v>
      </c>
      <c r="C15" s="142" t="s">
        <v>518</v>
      </c>
      <c r="D15" s="142" t="s">
        <v>519</v>
      </c>
      <c r="E15" s="142" t="s">
        <v>682</v>
      </c>
      <c r="F15" s="142"/>
      <c r="G15" s="142"/>
      <c r="H15" s="142" t="s">
        <v>690</v>
      </c>
      <c r="I15" s="93" t="str">
        <f t="shared" si="0"/>
        <v>DCS.Bldg.Admin.Hrs</v>
      </c>
      <c r="J15" s="93"/>
      <c r="K15" s="97"/>
      <c r="L15" s="97"/>
      <c r="M15" s="110">
        <v>1</v>
      </c>
      <c r="N15" s="111">
        <v>1</v>
      </c>
      <c r="O15" s="111"/>
      <c r="P15" s="111"/>
      <c r="Q15" s="111"/>
      <c r="R15" s="112">
        <v>130</v>
      </c>
      <c r="S15" s="112">
        <f t="shared" si="1"/>
        <v>130</v>
      </c>
      <c r="T15" s="97">
        <v>1</v>
      </c>
      <c r="U15" s="112">
        <f t="shared" si="8"/>
        <v>130</v>
      </c>
      <c r="V15" s="112"/>
      <c r="W15" s="112">
        <v>0</v>
      </c>
      <c r="X15" s="112">
        <f t="shared" si="9"/>
        <v>130</v>
      </c>
      <c r="Y15" s="176"/>
      <c r="Z15" s="24"/>
      <c r="AA15" s="145">
        <v>1</v>
      </c>
      <c r="AB15" s="36">
        <f t="shared" si="2"/>
        <v>130</v>
      </c>
      <c r="AC15" s="37" t="s">
        <v>189</v>
      </c>
      <c r="AD15" s="30">
        <v>6031</v>
      </c>
      <c r="AE15" s="30">
        <v>2975</v>
      </c>
      <c r="AF15" s="30">
        <v>120021</v>
      </c>
      <c r="AG15" s="30">
        <v>401310</v>
      </c>
      <c r="AH15" s="30"/>
      <c r="AI15" s="30" t="s">
        <v>675</v>
      </c>
      <c r="AJ15" s="30"/>
      <c r="AK15" s="30"/>
      <c r="AL15" s="31" t="str">
        <f>CONCATENATE(AD15,AE15,AF15,AG15)</f>
        <v>60312975120021401310</v>
      </c>
      <c r="AM15" s="31" t="str">
        <f>CONCATENATE(AD15,AE15,AF15,AG15)</f>
        <v>60312975120021401310</v>
      </c>
      <c r="AN15" s="24"/>
      <c r="AO15" s="42">
        <f t="shared" si="10"/>
        <v>0</v>
      </c>
      <c r="AP15" s="43">
        <f t="shared" si="5"/>
        <v>0</v>
      </c>
      <c r="AQ15" s="44" t="s">
        <v>55</v>
      </c>
      <c r="AR15" s="30"/>
      <c r="AS15" s="30"/>
      <c r="AT15" s="30"/>
      <c r="AU15" s="30"/>
      <c r="AV15" s="30"/>
      <c r="AW15" s="30"/>
      <c r="AX15" s="30"/>
      <c r="AY15" s="30"/>
      <c r="AZ15" s="31"/>
      <c r="BA15" s="31"/>
      <c r="BB15" s="136"/>
    </row>
    <row r="16" spans="1:54" x14ac:dyDescent="0.2">
      <c r="A16" s="236">
        <v>1</v>
      </c>
      <c r="B16" s="166">
        <f>SUM($A$2:$A16)</f>
        <v>15</v>
      </c>
      <c r="C16" s="142" t="s">
        <v>518</v>
      </c>
      <c r="D16" s="142" t="s">
        <v>519</v>
      </c>
      <c r="E16" s="142" t="s">
        <v>691</v>
      </c>
      <c r="F16" s="142" t="s">
        <v>692</v>
      </c>
      <c r="G16" s="142"/>
      <c r="H16" s="142" t="s">
        <v>684</v>
      </c>
      <c r="I16" s="91" t="str">
        <f t="shared" si="0"/>
        <v>DCS.Bldg.Review.Demo.each</v>
      </c>
      <c r="J16" s="91"/>
      <c r="K16" s="97"/>
      <c r="L16" s="97"/>
      <c r="M16" s="104">
        <v>1</v>
      </c>
      <c r="N16" s="105">
        <v>0.2</v>
      </c>
      <c r="O16" s="105"/>
      <c r="P16" s="105"/>
      <c r="Q16" s="105"/>
      <c r="R16" s="106">
        <v>149</v>
      </c>
      <c r="S16" s="106">
        <f t="shared" si="1"/>
        <v>29.8</v>
      </c>
      <c r="T16" s="97">
        <v>1</v>
      </c>
      <c r="U16" s="106">
        <f t="shared" si="8"/>
        <v>29.8</v>
      </c>
      <c r="V16" s="106"/>
      <c r="W16" s="106">
        <v>0</v>
      </c>
      <c r="X16" s="106">
        <f t="shared" si="9"/>
        <v>29.8</v>
      </c>
      <c r="Y16" s="176"/>
      <c r="Z16" s="24"/>
      <c r="AA16" s="145">
        <v>1</v>
      </c>
      <c r="AB16" s="36">
        <f t="shared" si="2"/>
        <v>29.8</v>
      </c>
      <c r="AC16" s="37" t="s">
        <v>189</v>
      </c>
      <c r="AD16" s="30"/>
      <c r="AE16" s="30"/>
      <c r="AF16" s="30"/>
      <c r="AG16" s="30"/>
      <c r="AH16" s="30"/>
      <c r="AI16" s="30"/>
      <c r="AJ16" s="30"/>
      <c r="AK16" s="30"/>
      <c r="AL16" s="31" t="str">
        <f t="shared" ref="AL16:AL72" si="41">CONCATENATE(AD16,AE16,AF16,AG16)</f>
        <v/>
      </c>
      <c r="AM16" s="31" t="str">
        <f t="shared" ref="AM16:AM72" si="42">CONCATENATE(AD16,AE16,AF16,AG16)</f>
        <v/>
      </c>
      <c r="AN16" s="24"/>
      <c r="AO16" s="42">
        <f t="shared" si="10"/>
        <v>0</v>
      </c>
      <c r="AP16" s="43">
        <f t="shared" si="5"/>
        <v>0</v>
      </c>
      <c r="AQ16" s="44" t="s">
        <v>55</v>
      </c>
      <c r="AR16" s="30"/>
      <c r="AS16" s="30"/>
      <c r="AT16" s="30"/>
      <c r="AU16" s="30"/>
      <c r="AV16" s="30"/>
      <c r="AW16" s="30"/>
      <c r="AX16" s="30"/>
      <c r="AY16" s="30"/>
      <c r="AZ16" s="31" t="str">
        <f t="shared" ref="AZ16:AZ72" si="43">CONCATENATE(AR16,AS16,AT16,AU16)</f>
        <v/>
      </c>
      <c r="BA16" s="31" t="str">
        <f t="shared" ref="BA16:BA72" si="44">CONCATENATE(AR16,AS16,AT16,AU16)</f>
        <v/>
      </c>
      <c r="BB16" s="136"/>
    </row>
    <row r="17" spans="1:54" x14ac:dyDescent="0.2">
      <c r="A17" s="236">
        <v>1</v>
      </c>
      <c r="B17" s="166">
        <f>SUM($A$2:$A17)</f>
        <v>16</v>
      </c>
      <c r="C17" s="142" t="s">
        <v>518</v>
      </c>
      <c r="D17" s="142" t="s">
        <v>519</v>
      </c>
      <c r="E17" s="142" t="s">
        <v>691</v>
      </c>
      <c r="F17" s="142" t="s">
        <v>693</v>
      </c>
      <c r="G17" s="142"/>
      <c r="H17" s="142" t="s">
        <v>586</v>
      </c>
      <c r="I17" s="91" t="str">
        <f t="shared" si="0"/>
        <v>DCS.Bldg.Review.Grading.Valuation</v>
      </c>
      <c r="J17" s="91"/>
      <c r="K17" s="97"/>
      <c r="L17" s="97"/>
      <c r="M17" s="104">
        <v>1</v>
      </c>
      <c r="N17" s="105"/>
      <c r="O17" s="105"/>
      <c r="P17" s="105"/>
      <c r="Q17" s="105"/>
      <c r="R17" s="106">
        <v>149</v>
      </c>
      <c r="S17" s="106">
        <f t="shared" si="1"/>
        <v>149</v>
      </c>
      <c r="T17" s="97">
        <v>1</v>
      </c>
      <c r="U17" s="106">
        <f t="shared" si="8"/>
        <v>149</v>
      </c>
      <c r="V17" s="106"/>
      <c r="W17" s="106">
        <v>0</v>
      </c>
      <c r="X17" s="106">
        <f t="shared" si="9"/>
        <v>149</v>
      </c>
      <c r="Y17" s="176"/>
      <c r="Z17" s="24"/>
      <c r="AA17" s="145">
        <v>1</v>
      </c>
      <c r="AB17" s="36">
        <f t="shared" si="2"/>
        <v>149</v>
      </c>
      <c r="AC17" s="37" t="s">
        <v>189</v>
      </c>
      <c r="AD17" s="30"/>
      <c r="AE17" s="30"/>
      <c r="AF17" s="30"/>
      <c r="AG17" s="30"/>
      <c r="AH17" s="30"/>
      <c r="AI17" s="30"/>
      <c r="AJ17" s="30"/>
      <c r="AK17" s="30"/>
      <c r="AL17" s="31" t="str">
        <f t="shared" si="41"/>
        <v/>
      </c>
      <c r="AM17" s="31" t="str">
        <f t="shared" si="42"/>
        <v/>
      </c>
      <c r="AN17" s="24"/>
      <c r="AO17" s="42">
        <f t="shared" si="10"/>
        <v>0</v>
      </c>
      <c r="AP17" s="43">
        <f t="shared" si="5"/>
        <v>0</v>
      </c>
      <c r="AQ17" s="44" t="s">
        <v>55</v>
      </c>
      <c r="AR17" s="30"/>
      <c r="AS17" s="30"/>
      <c r="AT17" s="30"/>
      <c r="AU17" s="30"/>
      <c r="AV17" s="30"/>
      <c r="AW17" s="30"/>
      <c r="AX17" s="30"/>
      <c r="AY17" s="30"/>
      <c r="AZ17" s="31" t="str">
        <f t="shared" si="43"/>
        <v/>
      </c>
      <c r="BA17" s="31" t="str">
        <f t="shared" si="44"/>
        <v/>
      </c>
      <c r="BB17" s="136"/>
    </row>
    <row r="18" spans="1:54" x14ac:dyDescent="0.2">
      <c r="A18" s="236">
        <v>1</v>
      </c>
      <c r="B18" s="166">
        <f>SUM($A$2:$A18)</f>
        <v>17</v>
      </c>
      <c r="C18" s="142" t="s">
        <v>518</v>
      </c>
      <c r="D18" s="142" t="s">
        <v>519</v>
      </c>
      <c r="E18" s="142" t="s">
        <v>691</v>
      </c>
      <c r="F18" s="142" t="s">
        <v>694</v>
      </c>
      <c r="G18" s="142"/>
      <c r="H18" s="142" t="s">
        <v>684</v>
      </c>
      <c r="I18" s="91" t="str">
        <f t="shared" si="0"/>
        <v>DCS.Bldg.Review.Pool.each</v>
      </c>
      <c r="J18" s="91"/>
      <c r="K18" s="97"/>
      <c r="L18" s="97"/>
      <c r="M18" s="104">
        <v>1</v>
      </c>
      <c r="N18" s="105"/>
      <c r="O18" s="105"/>
      <c r="P18" s="105"/>
      <c r="Q18" s="105"/>
      <c r="R18" s="106">
        <v>149</v>
      </c>
      <c r="S18" s="106">
        <f t="shared" si="1"/>
        <v>149</v>
      </c>
      <c r="T18" s="97">
        <v>1</v>
      </c>
      <c r="U18" s="106">
        <f t="shared" si="8"/>
        <v>149</v>
      </c>
      <c r="V18" s="106"/>
      <c r="W18" s="106">
        <v>0</v>
      </c>
      <c r="X18" s="106">
        <f t="shared" si="9"/>
        <v>149</v>
      </c>
      <c r="Y18" s="176"/>
      <c r="Z18" s="24"/>
      <c r="AA18" s="145">
        <v>1</v>
      </c>
      <c r="AB18" s="36">
        <f t="shared" si="2"/>
        <v>149</v>
      </c>
      <c r="AC18" s="37" t="s">
        <v>189</v>
      </c>
      <c r="AD18" s="30"/>
      <c r="AE18" s="30"/>
      <c r="AF18" s="30"/>
      <c r="AG18" s="30"/>
      <c r="AH18" s="30"/>
      <c r="AI18" s="30"/>
      <c r="AJ18" s="30"/>
      <c r="AK18" s="30"/>
      <c r="AL18" s="31" t="str">
        <f t="shared" si="41"/>
        <v/>
      </c>
      <c r="AM18" s="31" t="str">
        <f t="shared" si="42"/>
        <v/>
      </c>
      <c r="AN18" s="24"/>
      <c r="AO18" s="42">
        <f t="shared" si="10"/>
        <v>0</v>
      </c>
      <c r="AP18" s="43">
        <f t="shared" si="5"/>
        <v>0</v>
      </c>
      <c r="AQ18" s="44" t="s">
        <v>55</v>
      </c>
      <c r="AR18" s="30"/>
      <c r="AS18" s="30"/>
      <c r="AT18" s="30"/>
      <c r="AU18" s="30"/>
      <c r="AV18" s="30"/>
      <c r="AW18" s="30"/>
      <c r="AX18" s="30"/>
      <c r="AY18" s="30"/>
      <c r="AZ18" s="31" t="str">
        <f t="shared" si="43"/>
        <v/>
      </c>
      <c r="BA18" s="31" t="str">
        <f t="shared" si="44"/>
        <v/>
      </c>
      <c r="BB18" s="136"/>
    </row>
    <row r="19" spans="1:54" x14ac:dyDescent="0.2">
      <c r="A19" s="236">
        <v>1</v>
      </c>
      <c r="B19" s="166">
        <f>SUM($A$2:$A19)</f>
        <v>18</v>
      </c>
      <c r="C19" s="142" t="s">
        <v>518</v>
      </c>
      <c r="D19" s="142" t="s">
        <v>519</v>
      </c>
      <c r="E19" s="142" t="s">
        <v>691</v>
      </c>
      <c r="F19" s="142" t="s">
        <v>695</v>
      </c>
      <c r="G19" s="142"/>
      <c r="H19" s="142" t="s">
        <v>684</v>
      </c>
      <c r="I19" s="91" t="str">
        <f t="shared" si="0"/>
        <v>DCS.Bldg.Review.T25.each</v>
      </c>
      <c r="J19" s="91"/>
      <c r="K19" s="97"/>
      <c r="L19" s="97"/>
      <c r="M19" s="104">
        <v>1</v>
      </c>
      <c r="N19" s="105"/>
      <c r="O19" s="105"/>
      <c r="P19" s="105"/>
      <c r="Q19" s="105"/>
      <c r="R19" s="106">
        <v>149</v>
      </c>
      <c r="S19" s="106">
        <f t="shared" si="1"/>
        <v>149</v>
      </c>
      <c r="T19" s="97">
        <v>1</v>
      </c>
      <c r="U19" s="106">
        <f t="shared" si="8"/>
        <v>149</v>
      </c>
      <c r="V19" s="106"/>
      <c r="W19" s="106">
        <v>0</v>
      </c>
      <c r="X19" s="106">
        <f t="shared" si="9"/>
        <v>149</v>
      </c>
      <c r="Y19" s="176"/>
      <c r="Z19" s="24"/>
      <c r="AA19" s="145">
        <v>1</v>
      </c>
      <c r="AB19" s="36">
        <f t="shared" si="2"/>
        <v>149</v>
      </c>
      <c r="AC19" s="37" t="s">
        <v>189</v>
      </c>
      <c r="AD19" s="30"/>
      <c r="AE19" s="30"/>
      <c r="AF19" s="30"/>
      <c r="AG19" s="30"/>
      <c r="AH19" s="30"/>
      <c r="AI19" s="30"/>
      <c r="AJ19" s="30"/>
      <c r="AK19" s="30"/>
      <c r="AL19" s="31" t="str">
        <f t="shared" si="41"/>
        <v/>
      </c>
      <c r="AM19" s="31" t="str">
        <f t="shared" si="42"/>
        <v/>
      </c>
      <c r="AN19" s="24"/>
      <c r="AO19" s="42">
        <f t="shared" si="10"/>
        <v>0</v>
      </c>
      <c r="AP19" s="43">
        <f t="shared" si="5"/>
        <v>0</v>
      </c>
      <c r="AQ19" s="44" t="s">
        <v>55</v>
      </c>
      <c r="AR19" s="30"/>
      <c r="AS19" s="30"/>
      <c r="AT19" s="30"/>
      <c r="AU19" s="30"/>
      <c r="AV19" s="30"/>
      <c r="AW19" s="30"/>
      <c r="AX19" s="30"/>
      <c r="AY19" s="30"/>
      <c r="AZ19" s="31" t="str">
        <f t="shared" si="43"/>
        <v/>
      </c>
      <c r="BA19" s="31" t="str">
        <f t="shared" si="44"/>
        <v/>
      </c>
      <c r="BB19" s="136"/>
    </row>
    <row r="20" spans="1:54" x14ac:dyDescent="0.2">
      <c r="A20" s="236">
        <v>1</v>
      </c>
      <c r="B20" s="166">
        <f>SUM($A$2:$A20)</f>
        <v>19</v>
      </c>
      <c r="C20" s="142" t="s">
        <v>518</v>
      </c>
      <c r="D20" s="142" t="s">
        <v>519</v>
      </c>
      <c r="E20" s="142" t="s">
        <v>691</v>
      </c>
      <c r="F20" s="142" t="s">
        <v>696</v>
      </c>
      <c r="G20" s="142"/>
      <c r="H20" s="142" t="s">
        <v>586</v>
      </c>
      <c r="I20" s="91" t="str">
        <f t="shared" si="0"/>
        <v>DCS.Bldg.Review.Electrical.Valuation</v>
      </c>
      <c r="J20" s="91"/>
      <c r="K20" s="97"/>
      <c r="L20" s="97"/>
      <c r="M20" s="104">
        <v>1</v>
      </c>
      <c r="N20" s="105"/>
      <c r="O20" s="105"/>
      <c r="P20" s="105"/>
      <c r="Q20" s="105"/>
      <c r="R20" s="106">
        <v>149</v>
      </c>
      <c r="S20" s="106">
        <f t="shared" si="1"/>
        <v>149</v>
      </c>
      <c r="T20" s="97">
        <v>1</v>
      </c>
      <c r="U20" s="106">
        <f t="shared" si="8"/>
        <v>149</v>
      </c>
      <c r="V20" s="106"/>
      <c r="W20" s="106">
        <v>0</v>
      </c>
      <c r="X20" s="106">
        <f t="shared" si="9"/>
        <v>149</v>
      </c>
      <c r="Y20" s="176"/>
      <c r="Z20" s="24"/>
      <c r="AA20" s="145">
        <v>1</v>
      </c>
      <c r="AB20" s="36">
        <f t="shared" si="2"/>
        <v>149</v>
      </c>
      <c r="AC20" s="37" t="s">
        <v>189</v>
      </c>
      <c r="AD20" s="30"/>
      <c r="AE20" s="30"/>
      <c r="AF20" s="30"/>
      <c r="AG20" s="30"/>
      <c r="AH20" s="30"/>
      <c r="AI20" s="30"/>
      <c r="AJ20" s="30"/>
      <c r="AK20" s="30"/>
      <c r="AL20" s="31" t="str">
        <f t="shared" si="41"/>
        <v/>
      </c>
      <c r="AM20" s="31" t="str">
        <f t="shared" si="42"/>
        <v/>
      </c>
      <c r="AN20" s="24"/>
      <c r="AO20" s="42">
        <f t="shared" si="10"/>
        <v>0</v>
      </c>
      <c r="AP20" s="43">
        <f t="shared" si="5"/>
        <v>0</v>
      </c>
      <c r="AQ20" s="44" t="s">
        <v>55</v>
      </c>
      <c r="AR20" s="30"/>
      <c r="AS20" s="30"/>
      <c r="AT20" s="30"/>
      <c r="AU20" s="30"/>
      <c r="AV20" s="30"/>
      <c r="AW20" s="30"/>
      <c r="AX20" s="30"/>
      <c r="AY20" s="30"/>
      <c r="AZ20" s="31" t="str">
        <f t="shared" si="43"/>
        <v/>
      </c>
      <c r="BA20" s="31" t="str">
        <f t="shared" si="44"/>
        <v/>
      </c>
      <c r="BB20" s="136"/>
    </row>
    <row r="21" spans="1:54" x14ac:dyDescent="0.2">
      <c r="A21" s="236">
        <v>1</v>
      </c>
      <c r="B21" s="166">
        <f>SUM($A$2:$A21)</f>
        <v>20</v>
      </c>
      <c r="C21" s="142" t="s">
        <v>518</v>
      </c>
      <c r="D21" s="142" t="s">
        <v>519</v>
      </c>
      <c r="E21" s="142" t="s">
        <v>691</v>
      </c>
      <c r="F21" s="142" t="s">
        <v>697</v>
      </c>
      <c r="G21" s="142"/>
      <c r="H21" s="142" t="s">
        <v>586</v>
      </c>
      <c r="I21" s="91" t="str">
        <f t="shared" si="0"/>
        <v>DCS.Bldg.Review.Mechanical.Valuation</v>
      </c>
      <c r="J21" s="91"/>
      <c r="K21" s="97"/>
      <c r="L21" s="97"/>
      <c r="M21" s="104">
        <v>1</v>
      </c>
      <c r="N21" s="105"/>
      <c r="O21" s="105"/>
      <c r="P21" s="105"/>
      <c r="Q21" s="105"/>
      <c r="R21" s="106">
        <v>149</v>
      </c>
      <c r="S21" s="106">
        <f t="shared" si="1"/>
        <v>149</v>
      </c>
      <c r="T21" s="97">
        <v>1</v>
      </c>
      <c r="U21" s="106">
        <f t="shared" si="8"/>
        <v>149</v>
      </c>
      <c r="V21" s="106"/>
      <c r="W21" s="106">
        <v>0</v>
      </c>
      <c r="X21" s="106">
        <f t="shared" si="9"/>
        <v>149</v>
      </c>
      <c r="Y21" s="176"/>
      <c r="Z21" s="24"/>
      <c r="AA21" s="145">
        <v>1</v>
      </c>
      <c r="AB21" s="36">
        <f t="shared" si="2"/>
        <v>149</v>
      </c>
      <c r="AC21" s="37" t="s">
        <v>189</v>
      </c>
      <c r="AD21" s="30"/>
      <c r="AE21" s="30"/>
      <c r="AF21" s="30"/>
      <c r="AG21" s="30"/>
      <c r="AH21" s="30"/>
      <c r="AI21" s="30"/>
      <c r="AJ21" s="30"/>
      <c r="AK21" s="30"/>
      <c r="AL21" s="31" t="str">
        <f t="shared" si="41"/>
        <v/>
      </c>
      <c r="AM21" s="31" t="str">
        <f t="shared" si="42"/>
        <v/>
      </c>
      <c r="AN21" s="24"/>
      <c r="AO21" s="42">
        <f t="shared" si="10"/>
        <v>0</v>
      </c>
      <c r="AP21" s="43">
        <f t="shared" si="5"/>
        <v>0</v>
      </c>
      <c r="AQ21" s="44" t="s">
        <v>55</v>
      </c>
      <c r="AR21" s="30"/>
      <c r="AS21" s="30"/>
      <c r="AT21" s="30"/>
      <c r="AU21" s="30"/>
      <c r="AV21" s="30"/>
      <c r="AW21" s="30"/>
      <c r="AX21" s="30"/>
      <c r="AY21" s="30"/>
      <c r="AZ21" s="31" t="str">
        <f t="shared" si="43"/>
        <v/>
      </c>
      <c r="BA21" s="31" t="str">
        <f t="shared" si="44"/>
        <v/>
      </c>
      <c r="BB21" s="136"/>
    </row>
    <row r="22" spans="1:54" x14ac:dyDescent="0.2">
      <c r="A22" s="236">
        <v>1</v>
      </c>
      <c r="B22" s="166">
        <f>SUM($A$2:$A22)</f>
        <v>21</v>
      </c>
      <c r="C22" s="142" t="s">
        <v>518</v>
      </c>
      <c r="D22" s="142" t="s">
        <v>519</v>
      </c>
      <c r="E22" s="142" t="s">
        <v>691</v>
      </c>
      <c r="F22" s="142" t="s">
        <v>698</v>
      </c>
      <c r="G22" s="142"/>
      <c r="H22" s="142" t="s">
        <v>586</v>
      </c>
      <c r="I22" s="91" t="str">
        <f t="shared" si="0"/>
        <v>DCS.Bldg.Review.Plumbing.Valuation</v>
      </c>
      <c r="J22" s="91"/>
      <c r="K22" s="97"/>
      <c r="L22" s="97"/>
      <c r="M22" s="104">
        <v>1</v>
      </c>
      <c r="N22" s="105"/>
      <c r="O22" s="105"/>
      <c r="P22" s="105"/>
      <c r="Q22" s="105"/>
      <c r="R22" s="106">
        <v>149</v>
      </c>
      <c r="S22" s="106">
        <f t="shared" si="1"/>
        <v>149</v>
      </c>
      <c r="T22" s="97">
        <v>1</v>
      </c>
      <c r="U22" s="106">
        <f t="shared" si="8"/>
        <v>149</v>
      </c>
      <c r="V22" s="106"/>
      <c r="W22" s="106">
        <v>0</v>
      </c>
      <c r="X22" s="106">
        <f t="shared" si="9"/>
        <v>149</v>
      </c>
      <c r="Y22" s="176"/>
      <c r="Z22" s="24"/>
      <c r="AA22" s="145">
        <v>1</v>
      </c>
      <c r="AB22" s="36">
        <f t="shared" si="2"/>
        <v>149</v>
      </c>
      <c r="AC22" s="37" t="s">
        <v>189</v>
      </c>
      <c r="AD22" s="30"/>
      <c r="AE22" s="30"/>
      <c r="AF22" s="30"/>
      <c r="AG22" s="30"/>
      <c r="AH22" s="30"/>
      <c r="AI22" s="30"/>
      <c r="AJ22" s="30"/>
      <c r="AK22" s="30"/>
      <c r="AL22" s="31" t="str">
        <f t="shared" si="41"/>
        <v/>
      </c>
      <c r="AM22" s="31" t="str">
        <f t="shared" si="42"/>
        <v/>
      </c>
      <c r="AN22" s="24"/>
      <c r="AO22" s="42">
        <f t="shared" si="10"/>
        <v>0</v>
      </c>
      <c r="AP22" s="43">
        <f t="shared" si="5"/>
        <v>0</v>
      </c>
      <c r="AQ22" s="44" t="s">
        <v>55</v>
      </c>
      <c r="AR22" s="30"/>
      <c r="AS22" s="30"/>
      <c r="AT22" s="30"/>
      <c r="AU22" s="30"/>
      <c r="AV22" s="30"/>
      <c r="AW22" s="30"/>
      <c r="AX22" s="30"/>
      <c r="AY22" s="30"/>
      <c r="AZ22" s="31" t="str">
        <f t="shared" si="43"/>
        <v/>
      </c>
      <c r="BA22" s="31" t="str">
        <f t="shared" si="44"/>
        <v/>
      </c>
      <c r="BB22" s="136"/>
    </row>
    <row r="23" spans="1:54" x14ac:dyDescent="0.2">
      <c r="A23" s="236">
        <v>1</v>
      </c>
      <c r="B23" s="166">
        <f>SUM($A$2:$A23)</f>
        <v>22</v>
      </c>
      <c r="C23" s="142" t="s">
        <v>518</v>
      </c>
      <c r="D23" s="142" t="s">
        <v>519</v>
      </c>
      <c r="E23" s="142" t="s">
        <v>691</v>
      </c>
      <c r="F23" s="142" t="s">
        <v>699</v>
      </c>
      <c r="G23" s="142" t="s">
        <v>700</v>
      </c>
      <c r="H23" s="142" t="s">
        <v>701</v>
      </c>
      <c r="I23" s="91" t="str">
        <f t="shared" si="0"/>
        <v>DCS.Bldg.Review.Structural.Conventional.SQFT</v>
      </c>
      <c r="J23" s="91"/>
      <c r="K23" s="97"/>
      <c r="L23" s="97"/>
      <c r="M23" s="104">
        <v>1</v>
      </c>
      <c r="N23" s="105"/>
      <c r="O23" s="105"/>
      <c r="P23" s="105"/>
      <c r="Q23" s="105"/>
      <c r="R23" s="106">
        <v>149</v>
      </c>
      <c r="S23" s="106">
        <f t="shared" si="1"/>
        <v>149</v>
      </c>
      <c r="T23" s="97">
        <v>1</v>
      </c>
      <c r="U23" s="106">
        <f t="shared" si="8"/>
        <v>149</v>
      </c>
      <c r="V23" s="106"/>
      <c r="W23" s="106">
        <v>0</v>
      </c>
      <c r="X23" s="106">
        <f t="shared" si="9"/>
        <v>149</v>
      </c>
      <c r="Y23" s="176"/>
      <c r="Z23" s="24"/>
      <c r="AA23" s="145">
        <v>1</v>
      </c>
      <c r="AB23" s="36">
        <f t="shared" si="2"/>
        <v>149</v>
      </c>
      <c r="AC23" s="37" t="s">
        <v>189</v>
      </c>
      <c r="AD23" s="30"/>
      <c r="AE23" s="30"/>
      <c r="AF23" s="30"/>
      <c r="AG23" s="30"/>
      <c r="AH23" s="30"/>
      <c r="AI23" s="30"/>
      <c r="AJ23" s="30"/>
      <c r="AK23" s="30"/>
      <c r="AL23" s="31" t="str">
        <f t="shared" si="41"/>
        <v/>
      </c>
      <c r="AM23" s="31" t="str">
        <f t="shared" si="42"/>
        <v/>
      </c>
      <c r="AN23" s="24"/>
      <c r="AO23" s="42">
        <f t="shared" si="10"/>
        <v>0</v>
      </c>
      <c r="AP23" s="43">
        <f t="shared" si="5"/>
        <v>0</v>
      </c>
      <c r="AQ23" s="44" t="s">
        <v>55</v>
      </c>
      <c r="AR23" s="30"/>
      <c r="AS23" s="30"/>
      <c r="AT23" s="30"/>
      <c r="AU23" s="30"/>
      <c r="AV23" s="30"/>
      <c r="AW23" s="30"/>
      <c r="AX23" s="30"/>
      <c r="AY23" s="30"/>
      <c r="AZ23" s="31" t="str">
        <f t="shared" si="43"/>
        <v/>
      </c>
      <c r="BA23" s="31" t="str">
        <f t="shared" si="44"/>
        <v/>
      </c>
      <c r="BB23" s="136"/>
    </row>
    <row r="24" spans="1:54" x14ac:dyDescent="0.2">
      <c r="A24" s="236">
        <v>1</v>
      </c>
      <c r="B24" s="166">
        <f>SUM($A$2:$A24)</f>
        <v>23</v>
      </c>
      <c r="C24" s="142" t="s">
        <v>518</v>
      </c>
      <c r="D24" s="142" t="s">
        <v>519</v>
      </c>
      <c r="E24" s="142" t="s">
        <v>691</v>
      </c>
      <c r="F24" s="142" t="s">
        <v>699</v>
      </c>
      <c r="G24" s="142" t="s">
        <v>702</v>
      </c>
      <c r="H24" s="142" t="s">
        <v>701</v>
      </c>
      <c r="I24" s="91" t="str">
        <f t="shared" si="0"/>
        <v>DCS.Bldg.Review.Structural.Engineering.SQFT</v>
      </c>
      <c r="J24" s="91"/>
      <c r="K24" s="97"/>
      <c r="L24" s="97"/>
      <c r="M24" s="104">
        <v>1</v>
      </c>
      <c r="N24" s="105"/>
      <c r="O24" s="105"/>
      <c r="P24" s="105"/>
      <c r="Q24" s="105"/>
      <c r="R24" s="106">
        <v>200</v>
      </c>
      <c r="S24" s="106">
        <f t="shared" si="1"/>
        <v>200</v>
      </c>
      <c r="T24" s="97">
        <v>1</v>
      </c>
      <c r="U24" s="106">
        <f t="shared" si="8"/>
        <v>200</v>
      </c>
      <c r="V24" s="106"/>
      <c r="W24" s="106">
        <v>0</v>
      </c>
      <c r="X24" s="106">
        <f t="shared" si="9"/>
        <v>200</v>
      </c>
      <c r="Y24" s="176"/>
      <c r="Z24" s="24"/>
      <c r="AA24" s="145">
        <v>1</v>
      </c>
      <c r="AB24" s="36">
        <f t="shared" si="2"/>
        <v>200</v>
      </c>
      <c r="AC24" s="37" t="s">
        <v>189</v>
      </c>
      <c r="AD24" s="30"/>
      <c r="AE24" s="30"/>
      <c r="AF24" s="30"/>
      <c r="AG24" s="30"/>
      <c r="AH24" s="30"/>
      <c r="AI24" s="30"/>
      <c r="AJ24" s="30"/>
      <c r="AK24" s="30"/>
      <c r="AL24" s="31" t="str">
        <f t="shared" si="41"/>
        <v/>
      </c>
      <c r="AM24" s="31" t="str">
        <f t="shared" si="42"/>
        <v/>
      </c>
      <c r="AN24" s="24"/>
      <c r="AO24" s="42">
        <f t="shared" si="10"/>
        <v>0</v>
      </c>
      <c r="AP24" s="43">
        <f t="shared" si="5"/>
        <v>0</v>
      </c>
      <c r="AQ24" s="44" t="s">
        <v>55</v>
      </c>
      <c r="AR24" s="30"/>
      <c r="AS24" s="30"/>
      <c r="AT24" s="30"/>
      <c r="AU24" s="30"/>
      <c r="AV24" s="30"/>
      <c r="AW24" s="30"/>
      <c r="AX24" s="30"/>
      <c r="AY24" s="30"/>
      <c r="AZ24" s="31" t="str">
        <f t="shared" si="43"/>
        <v/>
      </c>
      <c r="BA24" s="31" t="str">
        <f t="shared" si="44"/>
        <v/>
      </c>
      <c r="BB24" s="136"/>
    </row>
    <row r="25" spans="1:54" x14ac:dyDescent="0.2">
      <c r="A25" s="236">
        <v>1</v>
      </c>
      <c r="B25" s="166">
        <f>SUM($A$2:$A25)</f>
        <v>24</v>
      </c>
      <c r="C25" s="142" t="s">
        <v>518</v>
      </c>
      <c r="D25" s="142" t="s">
        <v>519</v>
      </c>
      <c r="E25" s="142" t="s">
        <v>691</v>
      </c>
      <c r="F25" s="142"/>
      <c r="G25" s="142"/>
      <c r="H25" s="142" t="s">
        <v>690</v>
      </c>
      <c r="I25" s="94" t="str">
        <f t="shared" si="0"/>
        <v>DCS.Bldg.Review.Hrs</v>
      </c>
      <c r="J25" s="94"/>
      <c r="K25" s="97"/>
      <c r="L25" s="97"/>
      <c r="M25" s="101">
        <v>0.5</v>
      </c>
      <c r="N25" s="102">
        <v>1</v>
      </c>
      <c r="O25" s="102"/>
      <c r="P25" s="102"/>
      <c r="Q25" s="102"/>
      <c r="R25" s="103">
        <v>149</v>
      </c>
      <c r="S25" s="103">
        <f t="shared" si="1"/>
        <v>74.5</v>
      </c>
      <c r="T25" s="97">
        <v>1</v>
      </c>
      <c r="U25" s="103">
        <f t="shared" si="8"/>
        <v>74.5</v>
      </c>
      <c r="V25" s="103"/>
      <c r="W25" s="103">
        <v>0</v>
      </c>
      <c r="X25" s="103">
        <f t="shared" si="9"/>
        <v>74.5</v>
      </c>
      <c r="Y25" s="176"/>
      <c r="Z25" s="24"/>
      <c r="AA25" s="145">
        <v>1</v>
      </c>
      <c r="AB25" s="36">
        <f t="shared" si="2"/>
        <v>74.5</v>
      </c>
      <c r="AC25" s="37" t="s">
        <v>189</v>
      </c>
      <c r="AD25" s="30"/>
      <c r="AE25" s="30"/>
      <c r="AF25" s="30"/>
      <c r="AG25" s="30"/>
      <c r="AH25" s="30"/>
      <c r="AI25" s="30"/>
      <c r="AJ25" s="30"/>
      <c r="AK25" s="30"/>
      <c r="AL25" s="31" t="str">
        <f t="shared" si="41"/>
        <v/>
      </c>
      <c r="AM25" s="31" t="str">
        <f t="shared" si="42"/>
        <v/>
      </c>
      <c r="AN25" s="24"/>
      <c r="AO25" s="42">
        <f t="shared" si="10"/>
        <v>0</v>
      </c>
      <c r="AP25" s="43">
        <f t="shared" si="5"/>
        <v>0</v>
      </c>
      <c r="AQ25" s="44" t="s">
        <v>55</v>
      </c>
      <c r="AR25" s="30"/>
      <c r="AS25" s="30"/>
      <c r="AT25" s="30"/>
      <c r="AU25" s="30"/>
      <c r="AV25" s="30"/>
      <c r="AW25" s="30"/>
      <c r="AX25" s="30"/>
      <c r="AY25" s="30"/>
      <c r="AZ25" s="31" t="str">
        <f t="shared" si="43"/>
        <v/>
      </c>
      <c r="BA25" s="31" t="str">
        <f t="shared" si="44"/>
        <v/>
      </c>
      <c r="BB25" s="136"/>
    </row>
    <row r="26" spans="1:54" x14ac:dyDescent="0.2">
      <c r="A26" s="236">
        <v>1</v>
      </c>
      <c r="B26" s="166">
        <f>SUM($A$2:$A26)</f>
        <v>25</v>
      </c>
      <c r="C26" s="142" t="s">
        <v>518</v>
      </c>
      <c r="D26" s="142" t="s">
        <v>519</v>
      </c>
      <c r="E26" s="142" t="s">
        <v>703</v>
      </c>
      <c r="F26" s="142"/>
      <c r="G26" s="142"/>
      <c r="H26" s="142" t="s">
        <v>684</v>
      </c>
      <c r="I26" s="92" t="str">
        <f t="shared" si="0"/>
        <v>DCS.Bldg.Insp.each</v>
      </c>
      <c r="J26" s="92"/>
      <c r="K26" s="97"/>
      <c r="L26" s="97"/>
      <c r="M26" s="113">
        <v>1</v>
      </c>
      <c r="N26" s="114">
        <v>0.4</v>
      </c>
      <c r="O26" s="114"/>
      <c r="P26" s="114"/>
      <c r="Q26" s="114"/>
      <c r="R26" s="115">
        <v>149</v>
      </c>
      <c r="S26" s="115">
        <f t="shared" si="1"/>
        <v>59.6</v>
      </c>
      <c r="T26" s="97"/>
      <c r="U26" s="115">
        <f t="shared" si="8"/>
        <v>0</v>
      </c>
      <c r="V26" s="115"/>
      <c r="W26" s="115">
        <v>0</v>
      </c>
      <c r="X26" s="115">
        <f t="shared" si="9"/>
        <v>59.6</v>
      </c>
      <c r="Y26" s="176"/>
      <c r="Z26" s="24"/>
      <c r="AA26" s="145">
        <v>1</v>
      </c>
      <c r="AB26" s="36">
        <f t="shared" si="2"/>
        <v>0</v>
      </c>
      <c r="AC26" s="37" t="s">
        <v>189</v>
      </c>
      <c r="AD26" s="30"/>
      <c r="AE26" s="30"/>
      <c r="AF26" s="30"/>
      <c r="AG26" s="30"/>
      <c r="AH26" s="30"/>
      <c r="AI26" s="30"/>
      <c r="AJ26" s="30"/>
      <c r="AK26" s="30"/>
      <c r="AL26" s="31" t="str">
        <f t="shared" si="41"/>
        <v/>
      </c>
      <c r="AM26" s="31" t="str">
        <f t="shared" si="42"/>
        <v/>
      </c>
      <c r="AN26" s="24"/>
      <c r="AO26" s="42">
        <f t="shared" si="10"/>
        <v>0</v>
      </c>
      <c r="AP26" s="43">
        <f t="shared" si="5"/>
        <v>0</v>
      </c>
      <c r="AQ26" s="44" t="s">
        <v>55</v>
      </c>
      <c r="AR26" s="30"/>
      <c r="AS26" s="30"/>
      <c r="AT26" s="30"/>
      <c r="AU26" s="30"/>
      <c r="AV26" s="30"/>
      <c r="AW26" s="30"/>
      <c r="AX26" s="30"/>
      <c r="AY26" s="30"/>
      <c r="AZ26" s="31" t="str">
        <f t="shared" si="43"/>
        <v/>
      </c>
      <c r="BA26" s="31" t="str">
        <f t="shared" si="44"/>
        <v/>
      </c>
      <c r="BB26" s="136"/>
    </row>
    <row r="27" spans="1:54" x14ac:dyDescent="0.2">
      <c r="A27" s="236">
        <v>1</v>
      </c>
      <c r="B27" s="166">
        <f>SUM($A$2:$A27)</f>
        <v>26</v>
      </c>
      <c r="C27" s="142" t="s">
        <v>518</v>
      </c>
      <c r="D27" s="142" t="s">
        <v>519</v>
      </c>
      <c r="E27" s="142" t="s">
        <v>703</v>
      </c>
      <c r="F27" s="142"/>
      <c r="G27" s="142"/>
      <c r="H27" s="142" t="s">
        <v>684</v>
      </c>
      <c r="I27" s="92" t="str">
        <f t="shared" si="0"/>
        <v>DCS.Bldg.Insp.each</v>
      </c>
      <c r="J27" s="92"/>
      <c r="K27" s="97"/>
      <c r="L27" s="97"/>
      <c r="M27" s="113">
        <v>1</v>
      </c>
      <c r="N27" s="114">
        <v>0.4</v>
      </c>
      <c r="O27" s="114"/>
      <c r="P27" s="114"/>
      <c r="Q27" s="114"/>
      <c r="R27" s="115">
        <v>149</v>
      </c>
      <c r="S27" s="115">
        <f t="shared" si="1"/>
        <v>59.6</v>
      </c>
      <c r="T27" s="97"/>
      <c r="U27" s="115">
        <f t="shared" si="8"/>
        <v>0</v>
      </c>
      <c r="V27" s="115"/>
      <c r="W27" s="115">
        <v>0</v>
      </c>
      <c r="X27" s="115">
        <f t="shared" si="9"/>
        <v>59.6</v>
      </c>
      <c r="Y27" s="176"/>
      <c r="Z27" s="24"/>
      <c r="AA27" s="145">
        <v>1</v>
      </c>
      <c r="AB27" s="36">
        <f t="shared" si="2"/>
        <v>0</v>
      </c>
      <c r="AC27" s="37" t="s">
        <v>189</v>
      </c>
      <c r="AD27" s="30"/>
      <c r="AE27" s="30"/>
      <c r="AF27" s="30"/>
      <c r="AG27" s="30"/>
      <c r="AH27" s="30"/>
      <c r="AI27" s="30"/>
      <c r="AJ27" s="30"/>
      <c r="AK27" s="30"/>
      <c r="AL27" s="31" t="str">
        <f t="shared" si="41"/>
        <v/>
      </c>
      <c r="AM27" s="31" t="str">
        <f t="shared" si="42"/>
        <v/>
      </c>
      <c r="AN27" s="24"/>
      <c r="AO27" s="42">
        <f t="shared" si="10"/>
        <v>0</v>
      </c>
      <c r="AP27" s="43">
        <f t="shared" si="5"/>
        <v>0</v>
      </c>
      <c r="AQ27" s="44" t="s">
        <v>55</v>
      </c>
      <c r="AR27" s="30"/>
      <c r="AS27" s="30"/>
      <c r="AT27" s="30"/>
      <c r="AU27" s="30"/>
      <c r="AV27" s="30"/>
      <c r="AW27" s="30"/>
      <c r="AX27" s="30"/>
      <c r="AY27" s="30"/>
      <c r="AZ27" s="31" t="str">
        <f t="shared" si="43"/>
        <v/>
      </c>
      <c r="BA27" s="31" t="str">
        <f t="shared" si="44"/>
        <v/>
      </c>
      <c r="BB27" s="136"/>
    </row>
    <row r="28" spans="1:54" x14ac:dyDescent="0.2">
      <c r="A28" s="236">
        <v>1</v>
      </c>
      <c r="B28" s="166">
        <f>SUM($A$2:$A28)</f>
        <v>27</v>
      </c>
      <c r="C28" s="142" t="s">
        <v>518</v>
      </c>
      <c r="D28" s="142" t="s">
        <v>519</v>
      </c>
      <c r="E28" s="142" t="s">
        <v>703</v>
      </c>
      <c r="F28" s="142"/>
      <c r="G28" s="142"/>
      <c r="H28" s="142" t="s">
        <v>684</v>
      </c>
      <c r="I28" s="92" t="str">
        <f t="shared" si="0"/>
        <v>DCS.Bldg.Insp.each</v>
      </c>
      <c r="J28" s="92"/>
      <c r="K28" s="97"/>
      <c r="L28" s="97"/>
      <c r="M28" s="113">
        <v>1</v>
      </c>
      <c r="N28" s="114">
        <v>0.7</v>
      </c>
      <c r="O28" s="114"/>
      <c r="P28" s="114"/>
      <c r="Q28" s="114"/>
      <c r="R28" s="115">
        <v>149</v>
      </c>
      <c r="S28" s="115">
        <f t="shared" si="1"/>
        <v>104.3</v>
      </c>
      <c r="T28" s="97"/>
      <c r="U28" s="115">
        <f t="shared" si="8"/>
        <v>0</v>
      </c>
      <c r="V28" s="115"/>
      <c r="W28" s="115">
        <v>0</v>
      </c>
      <c r="X28" s="115">
        <f t="shared" si="9"/>
        <v>104.3</v>
      </c>
      <c r="Y28" s="176"/>
      <c r="Z28" s="24"/>
      <c r="AA28" s="145">
        <v>1</v>
      </c>
      <c r="AB28" s="36">
        <f t="shared" si="2"/>
        <v>0</v>
      </c>
      <c r="AC28" s="37" t="s">
        <v>189</v>
      </c>
      <c r="AD28" s="30"/>
      <c r="AE28" s="30"/>
      <c r="AF28" s="30"/>
      <c r="AG28" s="30"/>
      <c r="AH28" s="30"/>
      <c r="AI28" s="30"/>
      <c r="AJ28" s="30"/>
      <c r="AK28" s="30"/>
      <c r="AL28" s="31" t="str">
        <f t="shared" si="41"/>
        <v/>
      </c>
      <c r="AM28" s="31" t="str">
        <f t="shared" si="42"/>
        <v/>
      </c>
      <c r="AN28" s="24"/>
      <c r="AO28" s="42">
        <f t="shared" si="10"/>
        <v>0</v>
      </c>
      <c r="AP28" s="43">
        <f t="shared" si="5"/>
        <v>0</v>
      </c>
      <c r="AQ28" s="44" t="s">
        <v>55</v>
      </c>
      <c r="AR28" s="30"/>
      <c r="AS28" s="30"/>
      <c r="AT28" s="30"/>
      <c r="AU28" s="30"/>
      <c r="AV28" s="30"/>
      <c r="AW28" s="30"/>
      <c r="AX28" s="30"/>
      <c r="AY28" s="30"/>
      <c r="AZ28" s="31" t="str">
        <f t="shared" si="43"/>
        <v/>
      </c>
      <c r="BA28" s="31" t="str">
        <f t="shared" si="44"/>
        <v/>
      </c>
      <c r="BB28" s="136"/>
    </row>
    <row r="29" spans="1:54" x14ac:dyDescent="0.2">
      <c r="A29" s="236">
        <v>1</v>
      </c>
      <c r="B29" s="166">
        <f>SUM($A$2:$A29)</f>
        <v>28</v>
      </c>
      <c r="C29" s="142" t="s">
        <v>518</v>
      </c>
      <c r="D29" s="142" t="s">
        <v>519</v>
      </c>
      <c r="E29" s="142" t="s">
        <v>703</v>
      </c>
      <c r="F29" s="142"/>
      <c r="G29" s="142"/>
      <c r="H29" s="142" t="s">
        <v>684</v>
      </c>
      <c r="I29" s="92" t="str">
        <f t="shared" si="0"/>
        <v>DCS.Bldg.Insp.each</v>
      </c>
      <c r="J29" s="92"/>
      <c r="K29" s="97"/>
      <c r="L29" s="97"/>
      <c r="M29" s="113">
        <v>1</v>
      </c>
      <c r="N29" s="114">
        <v>0.7</v>
      </c>
      <c r="O29" s="114"/>
      <c r="P29" s="114"/>
      <c r="Q29" s="114"/>
      <c r="R29" s="115">
        <v>149</v>
      </c>
      <c r="S29" s="115">
        <f t="shared" si="1"/>
        <v>104.3</v>
      </c>
      <c r="T29" s="97"/>
      <c r="U29" s="115">
        <f t="shared" si="8"/>
        <v>0</v>
      </c>
      <c r="V29" s="115"/>
      <c r="W29" s="115">
        <v>0</v>
      </c>
      <c r="X29" s="115">
        <f t="shared" si="9"/>
        <v>104.3</v>
      </c>
      <c r="Y29" s="176"/>
      <c r="Z29" s="24"/>
      <c r="AA29" s="145">
        <v>1</v>
      </c>
      <c r="AB29" s="36">
        <f t="shared" si="2"/>
        <v>0</v>
      </c>
      <c r="AC29" s="37" t="s">
        <v>189</v>
      </c>
      <c r="AD29" s="30"/>
      <c r="AE29" s="30"/>
      <c r="AF29" s="30"/>
      <c r="AG29" s="30"/>
      <c r="AH29" s="30"/>
      <c r="AI29" s="30"/>
      <c r="AJ29" s="30"/>
      <c r="AK29" s="30"/>
      <c r="AL29" s="31" t="str">
        <f t="shared" si="41"/>
        <v/>
      </c>
      <c r="AM29" s="31" t="str">
        <f t="shared" si="42"/>
        <v/>
      </c>
      <c r="AN29" s="24"/>
      <c r="AO29" s="42">
        <f t="shared" si="10"/>
        <v>0</v>
      </c>
      <c r="AP29" s="43">
        <f t="shared" si="5"/>
        <v>0</v>
      </c>
      <c r="AQ29" s="44" t="s">
        <v>55</v>
      </c>
      <c r="AR29" s="30"/>
      <c r="AS29" s="30"/>
      <c r="AT29" s="30"/>
      <c r="AU29" s="30"/>
      <c r="AV29" s="30"/>
      <c r="AW29" s="30"/>
      <c r="AX29" s="30"/>
      <c r="AY29" s="30"/>
      <c r="AZ29" s="31" t="str">
        <f t="shared" si="43"/>
        <v/>
      </c>
      <c r="BA29" s="31" t="str">
        <f t="shared" si="44"/>
        <v/>
      </c>
      <c r="BB29" s="136"/>
    </row>
    <row r="30" spans="1:54" x14ac:dyDescent="0.2">
      <c r="A30" s="236">
        <v>1</v>
      </c>
      <c r="B30" s="166">
        <f>SUM($A$2:$A30)</f>
        <v>29</v>
      </c>
      <c r="C30" s="142" t="s">
        <v>518</v>
      </c>
      <c r="D30" s="142" t="s">
        <v>519</v>
      </c>
      <c r="E30" s="142" t="s">
        <v>703</v>
      </c>
      <c r="F30" s="142"/>
      <c r="G30" s="142"/>
      <c r="H30" s="142" t="s">
        <v>684</v>
      </c>
      <c r="I30" s="92" t="str">
        <f t="shared" si="0"/>
        <v>DCS.Bldg.Insp.each</v>
      </c>
      <c r="J30" s="92"/>
      <c r="K30" s="97"/>
      <c r="L30" s="97"/>
      <c r="M30" s="113">
        <v>1</v>
      </c>
      <c r="N30" s="114">
        <v>4</v>
      </c>
      <c r="O30" s="114"/>
      <c r="P30" s="114"/>
      <c r="Q30" s="114"/>
      <c r="R30" s="115">
        <v>149</v>
      </c>
      <c r="S30" s="115">
        <f t="shared" si="1"/>
        <v>596</v>
      </c>
      <c r="T30" s="97"/>
      <c r="U30" s="115">
        <f t="shared" si="8"/>
        <v>0</v>
      </c>
      <c r="V30" s="115"/>
      <c r="W30" s="115">
        <v>0</v>
      </c>
      <c r="X30" s="115">
        <f t="shared" si="9"/>
        <v>596</v>
      </c>
      <c r="Y30" s="176" t="s">
        <v>704</v>
      </c>
      <c r="Z30" s="24"/>
      <c r="AA30" s="145">
        <v>1</v>
      </c>
      <c r="AB30" s="36">
        <f t="shared" si="2"/>
        <v>0</v>
      </c>
      <c r="AC30" s="37" t="s">
        <v>189</v>
      </c>
      <c r="AD30" s="30"/>
      <c r="AE30" s="30"/>
      <c r="AF30" s="30"/>
      <c r="AG30" s="30"/>
      <c r="AH30" s="30"/>
      <c r="AI30" s="30"/>
      <c r="AJ30" s="30"/>
      <c r="AK30" s="30"/>
      <c r="AL30" s="31" t="str">
        <f t="shared" si="41"/>
        <v/>
      </c>
      <c r="AM30" s="31" t="str">
        <f t="shared" si="42"/>
        <v/>
      </c>
      <c r="AN30" s="24"/>
      <c r="AO30" s="42">
        <f t="shared" si="10"/>
        <v>0</v>
      </c>
      <c r="AP30" s="43">
        <f t="shared" si="5"/>
        <v>0</v>
      </c>
      <c r="AQ30" s="44" t="s">
        <v>55</v>
      </c>
      <c r="AR30" s="30"/>
      <c r="AS30" s="30"/>
      <c r="AT30" s="30"/>
      <c r="AU30" s="30"/>
      <c r="AV30" s="30"/>
      <c r="AW30" s="30"/>
      <c r="AX30" s="30"/>
      <c r="AY30" s="30"/>
      <c r="AZ30" s="31" t="str">
        <f t="shared" si="43"/>
        <v/>
      </c>
      <c r="BA30" s="31" t="str">
        <f t="shared" si="44"/>
        <v/>
      </c>
      <c r="BB30" s="136"/>
    </row>
    <row r="31" spans="1:54" x14ac:dyDescent="0.2">
      <c r="A31" s="236">
        <v>1</v>
      </c>
      <c r="B31" s="166">
        <f>SUM($A$2:$A31)</f>
        <v>30</v>
      </c>
      <c r="C31" s="142" t="s">
        <v>518</v>
      </c>
      <c r="D31" s="142" t="s">
        <v>519</v>
      </c>
      <c r="E31" s="142" t="s">
        <v>703</v>
      </c>
      <c r="F31" s="142"/>
      <c r="G31" s="142"/>
      <c r="H31" s="142" t="s">
        <v>690</v>
      </c>
      <c r="I31" s="95" t="str">
        <f t="shared" si="0"/>
        <v>DCS.Bldg.Insp.Hrs</v>
      </c>
      <c r="J31" s="95"/>
      <c r="K31" s="97"/>
      <c r="L31" s="97"/>
      <c r="M31" s="98">
        <v>1</v>
      </c>
      <c r="N31" s="99">
        <v>1</v>
      </c>
      <c r="O31" s="99"/>
      <c r="P31" s="99"/>
      <c r="Q31" s="99"/>
      <c r="R31" s="100">
        <v>149</v>
      </c>
      <c r="S31" s="100">
        <f t="shared" ref="S31" si="45">PRODUCT(K31:R31)</f>
        <v>149</v>
      </c>
      <c r="T31" s="97"/>
      <c r="U31" s="100">
        <f t="shared" ref="U31" si="46">X31*T31</f>
        <v>0</v>
      </c>
      <c r="V31" s="100"/>
      <c r="W31" s="100">
        <v>0</v>
      </c>
      <c r="X31" s="100">
        <f t="shared" ref="X31" si="47">S31-W31</f>
        <v>149</v>
      </c>
      <c r="Y31" s="176"/>
      <c r="Z31" s="24"/>
      <c r="AA31" s="145">
        <v>1</v>
      </c>
      <c r="AB31" s="36">
        <f t="shared" ref="AB31" si="48">AA31*U31</f>
        <v>0</v>
      </c>
      <c r="AC31" s="37" t="s">
        <v>189</v>
      </c>
      <c r="AD31" s="30"/>
      <c r="AE31" s="30"/>
      <c r="AF31" s="30"/>
      <c r="AG31" s="30"/>
      <c r="AH31" s="30"/>
      <c r="AI31" s="30"/>
      <c r="AJ31" s="30"/>
      <c r="AK31" s="30"/>
      <c r="AL31" s="31" t="str">
        <f t="shared" ref="AL31" si="49">CONCATENATE(AD31,AE31,AF31,AG31)</f>
        <v/>
      </c>
      <c r="AM31" s="31" t="str">
        <f t="shared" ref="AM31" si="50">CONCATENATE(AD31,AE31,AF31,AG31)</f>
        <v/>
      </c>
      <c r="AN31" s="24"/>
      <c r="AO31" s="42">
        <f t="shared" ref="AO31" si="51">1-AA31</f>
        <v>0</v>
      </c>
      <c r="AP31" s="43">
        <f t="shared" ref="AP31" si="52">AO31*U31</f>
        <v>0</v>
      </c>
      <c r="AQ31" s="44" t="s">
        <v>55</v>
      </c>
      <c r="AR31" s="30"/>
      <c r="AS31" s="30"/>
      <c r="AT31" s="30"/>
      <c r="AU31" s="30"/>
      <c r="AV31" s="30"/>
      <c r="AW31" s="30"/>
      <c r="AX31" s="30"/>
      <c r="AY31" s="30"/>
      <c r="AZ31" s="31" t="str">
        <f t="shared" ref="AZ31" si="53">CONCATENATE(AR31,AS31,AT31,AU31)</f>
        <v/>
      </c>
      <c r="BA31" s="31" t="str">
        <f t="shared" ref="BA31" si="54">CONCATENATE(AR31,AS31,AT31,AU31)</f>
        <v/>
      </c>
      <c r="BB31" s="136"/>
    </row>
    <row r="32" spans="1:54" x14ac:dyDescent="0.2">
      <c r="A32" s="236">
        <v>1</v>
      </c>
      <c r="B32" s="166">
        <f>SUM($A$2:$A32)</f>
        <v>31</v>
      </c>
      <c r="C32" s="142" t="s">
        <v>518</v>
      </c>
      <c r="D32" s="142" t="s">
        <v>519</v>
      </c>
      <c r="E32" s="142" t="s">
        <v>705</v>
      </c>
      <c r="F32" s="142" t="s">
        <v>692</v>
      </c>
      <c r="G32" s="142" t="s">
        <v>519</v>
      </c>
      <c r="H32" s="142" t="s">
        <v>684</v>
      </c>
      <c r="I32" s="116" t="str">
        <f t="shared" si="0"/>
        <v>DCS.Bldg.Combo.Demo.Bldg.each</v>
      </c>
      <c r="J32" s="116"/>
      <c r="K32" s="97"/>
      <c r="L32" s="97"/>
      <c r="M32" s="117">
        <v>1</v>
      </c>
      <c r="N32" s="118">
        <f>SUM(Inspections!I23:I24)</f>
        <v>193.70000000000002</v>
      </c>
      <c r="O32" s="118"/>
      <c r="P32" s="118"/>
      <c r="Q32" s="118"/>
      <c r="R32" s="119">
        <v>149</v>
      </c>
      <c r="S32" s="119">
        <f t="shared" si="1"/>
        <v>28861.300000000003</v>
      </c>
      <c r="T32" s="97">
        <v>1</v>
      </c>
      <c r="U32" s="119">
        <f t="shared" si="8"/>
        <v>28861.300000000003</v>
      </c>
      <c r="V32" s="119"/>
      <c r="W32" s="119">
        <v>0</v>
      </c>
      <c r="X32" s="119">
        <f t="shared" si="9"/>
        <v>28861.300000000003</v>
      </c>
      <c r="Y32" s="176"/>
      <c r="Z32" s="24"/>
      <c r="AA32" s="145">
        <v>1</v>
      </c>
      <c r="AB32" s="36">
        <f t="shared" si="2"/>
        <v>28861.300000000003</v>
      </c>
      <c r="AC32" s="37" t="s">
        <v>189</v>
      </c>
      <c r="AD32" s="30"/>
      <c r="AE32" s="30"/>
      <c r="AF32" s="30"/>
      <c r="AG32" s="30"/>
      <c r="AH32" s="30"/>
      <c r="AI32" s="30"/>
      <c r="AJ32" s="30"/>
      <c r="AK32" s="30"/>
      <c r="AL32" s="31" t="str">
        <f t="shared" si="41"/>
        <v/>
      </c>
      <c r="AM32" s="31" t="str">
        <f t="shared" si="42"/>
        <v/>
      </c>
      <c r="AN32" s="24"/>
      <c r="AO32" s="42">
        <f t="shared" si="10"/>
        <v>0</v>
      </c>
      <c r="AP32" s="43">
        <f t="shared" si="5"/>
        <v>0</v>
      </c>
      <c r="AQ32" s="44" t="s">
        <v>55</v>
      </c>
      <c r="AR32" s="30"/>
      <c r="AS32" s="30"/>
      <c r="AT32" s="30"/>
      <c r="AU32" s="30"/>
      <c r="AV32" s="30"/>
      <c r="AW32" s="30"/>
      <c r="AX32" s="30"/>
      <c r="AY32" s="30"/>
      <c r="AZ32" s="31" t="str">
        <f t="shared" si="43"/>
        <v/>
      </c>
      <c r="BA32" s="31" t="str">
        <f t="shared" si="44"/>
        <v/>
      </c>
      <c r="BB32" s="136"/>
    </row>
    <row r="33" spans="1:54" x14ac:dyDescent="0.2">
      <c r="A33" s="236">
        <v>1</v>
      </c>
      <c r="B33" s="166">
        <f>SUM($A$2:$A33)</f>
        <v>32</v>
      </c>
      <c r="C33" s="142" t="s">
        <v>518</v>
      </c>
      <c r="D33" s="142" t="s">
        <v>519</v>
      </c>
      <c r="E33" s="142" t="s">
        <v>705</v>
      </c>
      <c r="F33" s="142"/>
      <c r="G33" s="142"/>
      <c r="H33" s="142" t="s">
        <v>701</v>
      </c>
      <c r="I33" s="116" t="str">
        <f t="shared" si="0"/>
        <v>DCS.Bldg.Combo.SQFT</v>
      </c>
      <c r="J33" s="116"/>
      <c r="K33" s="97"/>
      <c r="L33" s="97"/>
      <c r="M33" s="117">
        <v>1</v>
      </c>
      <c r="N33" s="118"/>
      <c r="O33" s="118"/>
      <c r="P33" s="118"/>
      <c r="Q33" s="118"/>
      <c r="R33" s="119">
        <v>149</v>
      </c>
      <c r="S33" s="119">
        <f t="shared" si="1"/>
        <v>149</v>
      </c>
      <c r="T33" s="97"/>
      <c r="U33" s="119">
        <f t="shared" si="8"/>
        <v>0</v>
      </c>
      <c r="V33" s="119"/>
      <c r="W33" s="119">
        <v>0</v>
      </c>
      <c r="X33" s="119">
        <f t="shared" si="9"/>
        <v>149</v>
      </c>
      <c r="Y33" s="176"/>
      <c r="Z33" s="24"/>
      <c r="AA33" s="145">
        <v>1</v>
      </c>
      <c r="AB33" s="36">
        <f t="shared" si="2"/>
        <v>0</v>
      </c>
      <c r="AC33" s="37" t="s">
        <v>189</v>
      </c>
      <c r="AD33" s="30"/>
      <c r="AE33" s="30"/>
      <c r="AF33" s="30"/>
      <c r="AG33" s="30"/>
      <c r="AH33" s="30"/>
      <c r="AI33" s="30"/>
      <c r="AJ33" s="30"/>
      <c r="AK33" s="30"/>
      <c r="AL33" s="31" t="str">
        <f t="shared" si="41"/>
        <v/>
      </c>
      <c r="AM33" s="31" t="str">
        <f t="shared" si="42"/>
        <v/>
      </c>
      <c r="AN33" s="24"/>
      <c r="AO33" s="42">
        <f t="shared" si="10"/>
        <v>0</v>
      </c>
      <c r="AP33" s="43">
        <f t="shared" si="5"/>
        <v>0</v>
      </c>
      <c r="AQ33" s="44" t="s">
        <v>55</v>
      </c>
      <c r="AR33" s="30"/>
      <c r="AS33" s="30"/>
      <c r="AT33" s="30"/>
      <c r="AU33" s="30"/>
      <c r="AV33" s="30"/>
      <c r="AW33" s="30"/>
      <c r="AX33" s="30"/>
      <c r="AY33" s="30"/>
      <c r="AZ33" s="31" t="str">
        <f t="shared" si="43"/>
        <v/>
      </c>
      <c r="BA33" s="31" t="str">
        <f t="shared" si="44"/>
        <v/>
      </c>
      <c r="BB33" s="136"/>
    </row>
    <row r="34" spans="1:54" x14ac:dyDescent="0.2">
      <c r="A34" s="236">
        <v>1</v>
      </c>
      <c r="B34" s="166">
        <f>SUM($A$2:$A34)</f>
        <v>33</v>
      </c>
      <c r="C34" s="142" t="s">
        <v>518</v>
      </c>
      <c r="D34" s="142" t="s">
        <v>534</v>
      </c>
      <c r="E34" s="142" t="s">
        <v>691</v>
      </c>
      <c r="F34" s="142"/>
      <c r="G34" s="142"/>
      <c r="H34" s="142" t="s">
        <v>684</v>
      </c>
      <c r="I34" s="375" t="str">
        <f t="shared" ref="I34:I65" si="55">_xlfn.CONCAT(C34:H34)</f>
        <v>DCS.EH.Review.each</v>
      </c>
      <c r="J34" s="375"/>
      <c r="K34" s="376"/>
      <c r="L34" s="376"/>
      <c r="M34" s="377">
        <v>1</v>
      </c>
      <c r="N34" s="378"/>
      <c r="O34" s="378"/>
      <c r="P34" s="378"/>
      <c r="Q34" s="378"/>
      <c r="R34" s="379">
        <v>500</v>
      </c>
      <c r="S34" s="379">
        <f t="shared" si="1"/>
        <v>500</v>
      </c>
      <c r="T34" s="376"/>
      <c r="U34" s="379">
        <f t="shared" si="8"/>
        <v>0</v>
      </c>
      <c r="V34" s="379"/>
      <c r="W34" s="379">
        <v>0</v>
      </c>
      <c r="X34" s="379">
        <f t="shared" si="9"/>
        <v>500</v>
      </c>
      <c r="Y34" s="176"/>
      <c r="Z34" s="24"/>
      <c r="AA34" s="145">
        <v>1</v>
      </c>
      <c r="AB34" s="36">
        <f t="shared" si="2"/>
        <v>0</v>
      </c>
      <c r="AC34" s="37" t="s">
        <v>176</v>
      </c>
      <c r="AD34" s="30"/>
      <c r="AE34" s="30"/>
      <c r="AF34" s="30"/>
      <c r="AG34" s="30"/>
      <c r="AH34" s="30"/>
      <c r="AI34" s="30"/>
      <c r="AJ34" s="30"/>
      <c r="AK34" s="30"/>
      <c r="AL34" s="31" t="str">
        <f t="shared" si="41"/>
        <v/>
      </c>
      <c r="AM34" s="31" t="str">
        <f t="shared" si="42"/>
        <v/>
      </c>
      <c r="AN34" s="24"/>
      <c r="AO34" s="42">
        <f t="shared" si="10"/>
        <v>0</v>
      </c>
      <c r="AP34" s="43">
        <f t="shared" si="5"/>
        <v>0</v>
      </c>
      <c r="AQ34" s="44" t="s">
        <v>55</v>
      </c>
      <c r="AR34" s="30"/>
      <c r="AS34" s="30"/>
      <c r="AT34" s="30"/>
      <c r="AU34" s="30"/>
      <c r="AV34" s="30"/>
      <c r="AW34" s="30"/>
      <c r="AX34" s="30"/>
      <c r="AY34" s="30"/>
      <c r="AZ34" s="31" t="str">
        <f t="shared" si="43"/>
        <v/>
      </c>
      <c r="BA34" s="31" t="str">
        <f t="shared" si="44"/>
        <v/>
      </c>
      <c r="BB34" s="136"/>
    </row>
    <row r="35" spans="1:54" x14ac:dyDescent="0.2">
      <c r="A35" s="236">
        <v>1</v>
      </c>
      <c r="B35" s="166">
        <f>SUM($A$2:$A35)</f>
        <v>34</v>
      </c>
      <c r="C35" s="142" t="s">
        <v>518</v>
      </c>
      <c r="D35" s="142" t="s">
        <v>540</v>
      </c>
      <c r="E35" s="142" t="s">
        <v>691</v>
      </c>
      <c r="F35" s="142"/>
      <c r="G35" s="142"/>
      <c r="H35" s="142" t="s">
        <v>684</v>
      </c>
      <c r="I35" s="375" t="str">
        <f t="shared" si="55"/>
        <v>DCS.IWM.Review.each</v>
      </c>
      <c r="J35" s="375"/>
      <c r="K35" s="376"/>
      <c r="L35" s="376"/>
      <c r="M35" s="377">
        <v>1</v>
      </c>
      <c r="N35" s="378"/>
      <c r="O35" s="378"/>
      <c r="P35" s="378"/>
      <c r="Q35" s="378"/>
      <c r="R35" s="379">
        <v>200</v>
      </c>
      <c r="S35" s="379">
        <f t="shared" si="1"/>
        <v>200</v>
      </c>
      <c r="T35" s="376"/>
      <c r="U35" s="379">
        <f t="shared" si="8"/>
        <v>0</v>
      </c>
      <c r="V35" s="379"/>
      <c r="W35" s="379">
        <v>0</v>
      </c>
      <c r="X35" s="379">
        <f t="shared" si="9"/>
        <v>200</v>
      </c>
      <c r="Y35" s="176"/>
      <c r="Z35" s="24"/>
      <c r="AA35" s="145">
        <v>1</v>
      </c>
      <c r="AB35" s="36">
        <f t="shared" si="2"/>
        <v>0</v>
      </c>
      <c r="AC35" s="37" t="s">
        <v>177</v>
      </c>
      <c r="AD35" s="30"/>
      <c r="AE35" s="30"/>
      <c r="AF35" s="30"/>
      <c r="AG35" s="30"/>
      <c r="AH35" s="30"/>
      <c r="AI35" s="30"/>
      <c r="AJ35" s="30"/>
      <c r="AK35" s="30"/>
      <c r="AL35" s="31" t="str">
        <f t="shared" si="41"/>
        <v/>
      </c>
      <c r="AM35" s="31" t="str">
        <f t="shared" si="42"/>
        <v/>
      </c>
      <c r="AN35" s="24"/>
      <c r="AO35" s="42">
        <f t="shared" si="10"/>
        <v>0</v>
      </c>
      <c r="AP35" s="43">
        <f t="shared" si="5"/>
        <v>0</v>
      </c>
      <c r="AQ35" s="44" t="s">
        <v>55</v>
      </c>
      <c r="AR35" s="30"/>
      <c r="AS35" s="30"/>
      <c r="AT35" s="30"/>
      <c r="AU35" s="30"/>
      <c r="AV35" s="30"/>
      <c r="AW35" s="30"/>
      <c r="AX35" s="30"/>
      <c r="AY35" s="30"/>
      <c r="AZ35" s="31" t="str">
        <f t="shared" si="43"/>
        <v/>
      </c>
      <c r="BA35" s="31" t="str">
        <f t="shared" si="44"/>
        <v/>
      </c>
      <c r="BB35" s="136"/>
    </row>
    <row r="36" spans="1:54" x14ac:dyDescent="0.2">
      <c r="A36" s="236">
        <v>1</v>
      </c>
      <c r="B36" s="166">
        <f>SUM($A$2:$A36)</f>
        <v>35</v>
      </c>
      <c r="C36" s="142" t="s">
        <v>518</v>
      </c>
      <c r="D36" s="142" t="s">
        <v>542</v>
      </c>
      <c r="E36" s="142" t="s">
        <v>691</v>
      </c>
      <c r="F36" s="142"/>
      <c r="G36" s="142"/>
      <c r="H36" s="142" t="s">
        <v>684</v>
      </c>
      <c r="I36" s="375" t="str">
        <f t="shared" si="55"/>
        <v>DCS.Planning.Review.each</v>
      </c>
      <c r="J36" s="375"/>
      <c r="K36" s="376"/>
      <c r="L36" s="376"/>
      <c r="M36" s="377">
        <v>1</v>
      </c>
      <c r="N36" s="378"/>
      <c r="O36" s="378"/>
      <c r="P36" s="378"/>
      <c r="Q36" s="378"/>
      <c r="R36" s="379">
        <v>200</v>
      </c>
      <c r="S36" s="379">
        <f t="shared" si="1"/>
        <v>200</v>
      </c>
      <c r="T36" s="376"/>
      <c r="U36" s="379">
        <f t="shared" si="8"/>
        <v>0</v>
      </c>
      <c r="V36" s="379"/>
      <c r="W36" s="379">
        <v>0</v>
      </c>
      <c r="X36" s="379">
        <f t="shared" si="9"/>
        <v>200</v>
      </c>
      <c r="Y36" s="176"/>
      <c r="Z36" s="24"/>
      <c r="AA36" s="145">
        <v>1</v>
      </c>
      <c r="AB36" s="36">
        <f t="shared" si="2"/>
        <v>0</v>
      </c>
      <c r="AC36" s="37" t="s">
        <v>241</v>
      </c>
      <c r="AD36" s="30"/>
      <c r="AE36" s="30"/>
      <c r="AF36" s="30"/>
      <c r="AG36" s="30"/>
      <c r="AH36" s="30"/>
      <c r="AI36" s="30"/>
      <c r="AJ36" s="30"/>
      <c r="AK36" s="30"/>
      <c r="AL36" s="31" t="str">
        <f t="shared" si="41"/>
        <v/>
      </c>
      <c r="AM36" s="31" t="str">
        <f t="shared" si="42"/>
        <v/>
      </c>
      <c r="AN36" s="24"/>
      <c r="AO36" s="42">
        <f t="shared" si="10"/>
        <v>0</v>
      </c>
      <c r="AP36" s="43">
        <f t="shared" si="5"/>
        <v>0</v>
      </c>
      <c r="AQ36" s="44" t="s">
        <v>55</v>
      </c>
      <c r="AR36" s="30"/>
      <c r="AS36" s="30"/>
      <c r="AT36" s="30"/>
      <c r="AU36" s="30"/>
      <c r="AV36" s="30"/>
      <c r="AW36" s="30"/>
      <c r="AX36" s="30"/>
      <c r="AY36" s="30"/>
      <c r="AZ36" s="31" t="str">
        <f t="shared" si="43"/>
        <v/>
      </c>
      <c r="BA36" s="31" t="str">
        <f t="shared" si="44"/>
        <v/>
      </c>
      <c r="BB36" s="136"/>
    </row>
    <row r="37" spans="1:54" x14ac:dyDescent="0.2">
      <c r="A37" s="236">
        <v>1</v>
      </c>
      <c r="B37" s="166">
        <f>SUM($A$2:$A37)</f>
        <v>36</v>
      </c>
      <c r="C37" s="142" t="s">
        <v>518</v>
      </c>
      <c r="D37" s="142" t="s">
        <v>544</v>
      </c>
      <c r="E37" s="142" t="s">
        <v>691</v>
      </c>
      <c r="F37" s="142"/>
      <c r="G37" s="142"/>
      <c r="H37" s="142" t="s">
        <v>684</v>
      </c>
      <c r="I37" s="375" t="str">
        <f t="shared" si="55"/>
        <v>DCS.PW.Review.each</v>
      </c>
      <c r="J37" s="375"/>
      <c r="K37" s="376"/>
      <c r="L37" s="376"/>
      <c r="M37" s="377">
        <v>1</v>
      </c>
      <c r="N37" s="378"/>
      <c r="O37" s="378"/>
      <c r="P37" s="378"/>
      <c r="Q37" s="378"/>
      <c r="R37" s="379">
        <v>200</v>
      </c>
      <c r="S37" s="379">
        <f t="shared" si="1"/>
        <v>200</v>
      </c>
      <c r="T37" s="376"/>
      <c r="U37" s="379">
        <f t="shared" si="8"/>
        <v>0</v>
      </c>
      <c r="V37" s="379"/>
      <c r="W37" s="379">
        <v>0</v>
      </c>
      <c r="X37" s="379">
        <f t="shared" si="9"/>
        <v>200</v>
      </c>
      <c r="Y37" s="176"/>
      <c r="Z37" s="24"/>
      <c r="AA37" s="145">
        <v>1</v>
      </c>
      <c r="AB37" s="36">
        <f t="shared" si="2"/>
        <v>0</v>
      </c>
      <c r="AC37" s="37" t="s">
        <v>179</v>
      </c>
      <c r="AD37" s="30"/>
      <c r="AE37" s="30"/>
      <c r="AF37" s="30"/>
      <c r="AG37" s="30"/>
      <c r="AH37" s="30"/>
      <c r="AI37" s="30"/>
      <c r="AJ37" s="30"/>
      <c r="AK37" s="30"/>
      <c r="AL37" s="31" t="str">
        <f t="shared" si="41"/>
        <v/>
      </c>
      <c r="AM37" s="31" t="str">
        <f t="shared" si="42"/>
        <v/>
      </c>
      <c r="AN37" s="24"/>
      <c r="AO37" s="42">
        <f t="shared" si="10"/>
        <v>0</v>
      </c>
      <c r="AP37" s="43">
        <f t="shared" si="5"/>
        <v>0</v>
      </c>
      <c r="AQ37" s="44" t="s">
        <v>55</v>
      </c>
      <c r="AR37" s="30"/>
      <c r="AS37" s="30"/>
      <c r="AT37" s="30"/>
      <c r="AU37" s="30"/>
      <c r="AV37" s="30"/>
      <c r="AW37" s="30"/>
      <c r="AX37" s="30"/>
      <c r="AY37" s="30"/>
      <c r="AZ37" s="31" t="str">
        <f t="shared" si="43"/>
        <v/>
      </c>
      <c r="BA37" s="31" t="str">
        <f t="shared" si="44"/>
        <v/>
      </c>
      <c r="BB37" s="136"/>
    </row>
    <row r="38" spans="1:54" x14ac:dyDescent="0.2">
      <c r="A38" s="236">
        <v>1</v>
      </c>
      <c r="B38" s="166">
        <f>SUM($A$2:$A38)</f>
        <v>37</v>
      </c>
      <c r="C38" s="142" t="s">
        <v>706</v>
      </c>
      <c r="D38" s="142" t="s">
        <v>707</v>
      </c>
      <c r="E38" s="142" t="s">
        <v>708</v>
      </c>
      <c r="F38" s="142"/>
      <c r="G38" s="142"/>
      <c r="H38" s="142" t="s">
        <v>709</v>
      </c>
      <c r="I38" s="15" t="str">
        <f t="shared" si="55"/>
        <v>FSA.Davis.CRC.perUnit</v>
      </c>
      <c r="J38" s="15"/>
      <c r="K38" s="97"/>
      <c r="L38" s="97"/>
      <c r="M38" s="20">
        <v>1</v>
      </c>
      <c r="N38" s="17"/>
      <c r="O38" s="17"/>
      <c r="P38" s="17"/>
      <c r="Q38" s="17"/>
      <c r="R38" s="19">
        <v>6514</v>
      </c>
      <c r="S38" s="19">
        <f t="shared" ref="S38:S51" si="56">PRODUCT(K38:R38)</f>
        <v>6514</v>
      </c>
      <c r="T38" s="97"/>
      <c r="U38" s="19">
        <f t="shared" ref="U38:U51" si="57">X38*T38</f>
        <v>0</v>
      </c>
      <c r="V38" s="19"/>
      <c r="W38" s="19">
        <v>0</v>
      </c>
      <c r="X38" s="19">
        <f t="shared" ref="X38:X51" si="58">S38-W38</f>
        <v>6514</v>
      </c>
      <c r="Y38" s="176"/>
      <c r="Z38" s="24"/>
      <c r="AA38" s="145">
        <v>1</v>
      </c>
      <c r="AB38" s="36">
        <f t="shared" ref="AB38:AB51" si="59">AA38*U38</f>
        <v>0</v>
      </c>
      <c r="AC38" s="37" t="s">
        <v>515</v>
      </c>
      <c r="AD38" s="30"/>
      <c r="AE38" s="30"/>
      <c r="AF38" s="30"/>
      <c r="AG38" s="30"/>
      <c r="AH38" s="30"/>
      <c r="AI38" s="30"/>
      <c r="AJ38" s="30"/>
      <c r="AK38" s="30"/>
      <c r="AL38" s="31" t="str">
        <f t="shared" ref="AL38:AL51" si="60">CONCATENATE(AD38,AE38,AF38,AG38)</f>
        <v/>
      </c>
      <c r="AM38" s="31" t="str">
        <f t="shared" ref="AM38:AM51" si="61">CONCATENATE(AD38,AE38,AF38,AG38)</f>
        <v/>
      </c>
      <c r="AN38" s="24"/>
      <c r="AO38" s="42">
        <f t="shared" ref="AO38:AO51" si="62">1-AA38</f>
        <v>0</v>
      </c>
      <c r="AP38" s="43">
        <f t="shared" ref="AP38:AP51" si="63">AO38*U38</f>
        <v>0</v>
      </c>
      <c r="AQ38" s="44" t="s">
        <v>55</v>
      </c>
      <c r="AR38" s="30"/>
      <c r="AS38" s="30"/>
      <c r="AT38" s="30"/>
      <c r="AU38" s="30"/>
      <c r="AV38" s="30"/>
      <c r="AW38" s="30"/>
      <c r="AX38" s="30"/>
      <c r="AY38" s="30"/>
      <c r="AZ38" s="31" t="str">
        <f t="shared" ref="AZ38:AZ51" si="64">CONCATENATE(AR38,AS38,AT38,AU38)</f>
        <v/>
      </c>
      <c r="BA38" s="31" t="str">
        <f t="shared" ref="BA38:BA51" si="65">CONCATENATE(AR38,AS38,AT38,AU38)</f>
        <v/>
      </c>
      <c r="BB38" s="136"/>
    </row>
    <row r="39" spans="1:54" x14ac:dyDescent="0.2">
      <c r="A39" s="236">
        <v>1</v>
      </c>
      <c r="B39" s="166">
        <f>SUM($A$2:$A39)</f>
        <v>38</v>
      </c>
      <c r="C39" s="142" t="s">
        <v>706</v>
      </c>
      <c r="D39" s="142" t="s">
        <v>707</v>
      </c>
      <c r="E39" s="142" t="s">
        <v>710</v>
      </c>
      <c r="F39" s="142"/>
      <c r="G39" s="142"/>
      <c r="H39" s="142" t="s">
        <v>616</v>
      </c>
      <c r="I39" s="15" t="str">
        <f t="shared" si="55"/>
        <v>FSA.Davis.ADU1.Flat</v>
      </c>
      <c r="J39" s="15"/>
      <c r="K39" s="97"/>
      <c r="L39" s="97"/>
      <c r="M39" s="20">
        <v>1</v>
      </c>
      <c r="N39" s="17"/>
      <c r="O39" s="17"/>
      <c r="P39" s="17"/>
      <c r="Q39" s="17"/>
      <c r="R39" s="19">
        <v>0</v>
      </c>
      <c r="S39" s="19">
        <f t="shared" si="56"/>
        <v>0</v>
      </c>
      <c r="T39" s="97"/>
      <c r="U39" s="19">
        <f t="shared" si="57"/>
        <v>0</v>
      </c>
      <c r="V39" s="19"/>
      <c r="W39" s="19">
        <v>0</v>
      </c>
      <c r="X39" s="19">
        <f t="shared" si="58"/>
        <v>0</v>
      </c>
      <c r="Y39" s="176"/>
      <c r="Z39" s="24"/>
      <c r="AA39" s="145">
        <v>1</v>
      </c>
      <c r="AB39" s="36">
        <f t="shared" si="59"/>
        <v>0</v>
      </c>
      <c r="AC39" s="37" t="s">
        <v>515</v>
      </c>
      <c r="AD39" s="30"/>
      <c r="AE39" s="30"/>
      <c r="AF39" s="30"/>
      <c r="AG39" s="30"/>
      <c r="AH39" s="30"/>
      <c r="AI39" s="30"/>
      <c r="AJ39" s="30"/>
      <c r="AK39" s="30"/>
      <c r="AL39" s="31" t="str">
        <f t="shared" si="60"/>
        <v/>
      </c>
      <c r="AM39" s="31" t="str">
        <f t="shared" si="61"/>
        <v/>
      </c>
      <c r="AN39" s="24"/>
      <c r="AO39" s="42">
        <f t="shared" si="62"/>
        <v>0</v>
      </c>
      <c r="AP39" s="43">
        <f t="shared" si="63"/>
        <v>0</v>
      </c>
      <c r="AQ39" s="44" t="s">
        <v>55</v>
      </c>
      <c r="AR39" s="30"/>
      <c r="AS39" s="30"/>
      <c r="AT39" s="30"/>
      <c r="AU39" s="30"/>
      <c r="AV39" s="30"/>
      <c r="AW39" s="30"/>
      <c r="AX39" s="30"/>
      <c r="AY39" s="30"/>
      <c r="AZ39" s="31" t="str">
        <f t="shared" si="64"/>
        <v/>
      </c>
      <c r="BA39" s="31" t="str">
        <f t="shared" si="65"/>
        <v/>
      </c>
      <c r="BB39" s="136"/>
    </row>
    <row r="40" spans="1:54" x14ac:dyDescent="0.2">
      <c r="A40" s="236">
        <v>1</v>
      </c>
      <c r="B40" s="166">
        <f>SUM($A$2:$A40)</f>
        <v>39</v>
      </c>
      <c r="C40" s="142" t="s">
        <v>706</v>
      </c>
      <c r="D40" s="142" t="s">
        <v>707</v>
      </c>
      <c r="E40" s="142" t="s">
        <v>711</v>
      </c>
      <c r="F40" s="142"/>
      <c r="G40" s="142"/>
      <c r="H40" s="142" t="s">
        <v>712</v>
      </c>
      <c r="I40" s="15" t="str">
        <f t="shared" si="55"/>
        <v>FSA.Davis.ADU2.perSQFT</v>
      </c>
      <c r="J40" s="15"/>
      <c r="K40" s="97"/>
      <c r="L40" s="97"/>
      <c r="M40" s="20">
        <v>0.4</v>
      </c>
      <c r="N40" s="17"/>
      <c r="O40" s="17"/>
      <c r="P40" s="17"/>
      <c r="Q40" s="17"/>
      <c r="R40" s="19">
        <f>R38*M40</f>
        <v>2605.6000000000004</v>
      </c>
      <c r="S40" s="19">
        <f t="shared" si="56"/>
        <v>1042.2400000000002</v>
      </c>
      <c r="T40" s="97"/>
      <c r="U40" s="19">
        <f t="shared" si="57"/>
        <v>0</v>
      </c>
      <c r="V40" s="19"/>
      <c r="W40" s="19">
        <v>0</v>
      </c>
      <c r="X40" s="19">
        <f t="shared" si="58"/>
        <v>1042.2400000000002</v>
      </c>
      <c r="Y40" s="176"/>
      <c r="Z40" s="24"/>
      <c r="AA40" s="145">
        <v>1</v>
      </c>
      <c r="AB40" s="36">
        <f t="shared" si="59"/>
        <v>0</v>
      </c>
      <c r="AC40" s="37" t="s">
        <v>515</v>
      </c>
      <c r="AD40" s="30"/>
      <c r="AE40" s="30"/>
      <c r="AF40" s="30"/>
      <c r="AG40" s="30"/>
      <c r="AH40" s="30"/>
      <c r="AI40" s="30"/>
      <c r="AJ40" s="30"/>
      <c r="AK40" s="30"/>
      <c r="AL40" s="31" t="str">
        <f t="shared" si="60"/>
        <v/>
      </c>
      <c r="AM40" s="31" t="str">
        <f t="shared" si="61"/>
        <v/>
      </c>
      <c r="AN40" s="24"/>
      <c r="AO40" s="42">
        <f t="shared" si="62"/>
        <v>0</v>
      </c>
      <c r="AP40" s="43">
        <f t="shared" si="63"/>
        <v>0</v>
      </c>
      <c r="AQ40" s="44" t="s">
        <v>55</v>
      </c>
      <c r="AR40" s="30"/>
      <c r="AS40" s="30"/>
      <c r="AT40" s="30"/>
      <c r="AU40" s="30"/>
      <c r="AV40" s="30"/>
      <c r="AW40" s="30"/>
      <c r="AX40" s="30"/>
      <c r="AY40" s="30"/>
      <c r="AZ40" s="31" t="str">
        <f t="shared" si="64"/>
        <v/>
      </c>
      <c r="BA40" s="31" t="str">
        <f t="shared" si="65"/>
        <v/>
      </c>
      <c r="BB40" s="136"/>
    </row>
    <row r="41" spans="1:54" x14ac:dyDescent="0.2">
      <c r="A41" s="236">
        <v>1</v>
      </c>
      <c r="B41" s="166">
        <f>SUM($A$2:$A41)</f>
        <v>40</v>
      </c>
      <c r="C41" s="142" t="s">
        <v>706</v>
      </c>
      <c r="D41" s="142" t="s">
        <v>707</v>
      </c>
      <c r="E41" s="142" t="s">
        <v>713</v>
      </c>
      <c r="F41" s="142"/>
      <c r="G41" s="142"/>
      <c r="H41" s="142" t="s">
        <v>712</v>
      </c>
      <c r="I41" s="15" t="str">
        <f t="shared" si="55"/>
        <v>FSA.Davis.Factory.perSQFT</v>
      </c>
      <c r="J41" s="15"/>
      <c r="K41" s="97"/>
      <c r="L41" s="97"/>
      <c r="M41" s="20">
        <v>10000</v>
      </c>
      <c r="N41" s="17"/>
      <c r="O41" s="17"/>
      <c r="P41" s="17"/>
      <c r="Q41" s="17"/>
      <c r="R41" s="19"/>
      <c r="S41" s="19">
        <f t="shared" si="56"/>
        <v>10000</v>
      </c>
      <c r="T41" s="97"/>
      <c r="U41" s="19">
        <f t="shared" si="57"/>
        <v>0</v>
      </c>
      <c r="V41" s="19"/>
      <c r="W41" s="19">
        <v>0</v>
      </c>
      <c r="X41" s="19">
        <f t="shared" si="58"/>
        <v>10000</v>
      </c>
      <c r="Y41" s="176"/>
      <c r="Z41" s="24"/>
      <c r="AA41" s="145">
        <v>1</v>
      </c>
      <c r="AB41" s="36">
        <f t="shared" si="59"/>
        <v>0</v>
      </c>
      <c r="AC41" s="37" t="s">
        <v>515</v>
      </c>
      <c r="AD41" s="30"/>
      <c r="AE41" s="30"/>
      <c r="AF41" s="30"/>
      <c r="AG41" s="30"/>
      <c r="AH41" s="30"/>
      <c r="AI41" s="30"/>
      <c r="AJ41" s="30"/>
      <c r="AK41" s="30"/>
      <c r="AL41" s="31" t="str">
        <f t="shared" si="60"/>
        <v/>
      </c>
      <c r="AM41" s="31" t="str">
        <f t="shared" si="61"/>
        <v/>
      </c>
      <c r="AN41" s="24"/>
      <c r="AO41" s="42">
        <f t="shared" si="62"/>
        <v>0</v>
      </c>
      <c r="AP41" s="43">
        <f t="shared" si="63"/>
        <v>0</v>
      </c>
      <c r="AQ41" s="44" t="s">
        <v>55</v>
      </c>
      <c r="AR41" s="30"/>
      <c r="AS41" s="30"/>
      <c r="AT41" s="30"/>
      <c r="AU41" s="30"/>
      <c r="AV41" s="30"/>
      <c r="AW41" s="30"/>
      <c r="AX41" s="30"/>
      <c r="AY41" s="30"/>
      <c r="AZ41" s="31" t="str">
        <f t="shared" si="64"/>
        <v/>
      </c>
      <c r="BA41" s="31" t="str">
        <f t="shared" si="65"/>
        <v/>
      </c>
      <c r="BB41" s="136"/>
    </row>
    <row r="42" spans="1:54" x14ac:dyDescent="0.2">
      <c r="A42" s="236">
        <v>1</v>
      </c>
      <c r="B42" s="166">
        <f>SUM($A$2:$A42)</f>
        <v>41</v>
      </c>
      <c r="C42" s="142" t="s">
        <v>706</v>
      </c>
      <c r="D42" s="142" t="s">
        <v>707</v>
      </c>
      <c r="E42" s="142" t="s">
        <v>714</v>
      </c>
      <c r="F42" s="142"/>
      <c r="G42" s="142"/>
      <c r="H42" s="142" t="s">
        <v>712</v>
      </c>
      <c r="I42" s="15" t="str">
        <f t="shared" si="55"/>
        <v>FSA.Davis.Office.perSQFT</v>
      </c>
      <c r="J42" s="15"/>
      <c r="K42" s="97"/>
      <c r="L42" s="97"/>
      <c r="M42" s="20">
        <v>5000</v>
      </c>
      <c r="N42" s="17"/>
      <c r="O42" s="17"/>
      <c r="P42" s="17"/>
      <c r="Q42" s="17"/>
      <c r="R42" s="19"/>
      <c r="S42" s="19">
        <f t="shared" si="56"/>
        <v>5000</v>
      </c>
      <c r="T42" s="97"/>
      <c r="U42" s="19">
        <f t="shared" si="57"/>
        <v>0</v>
      </c>
      <c r="V42" s="19"/>
      <c r="W42" s="19">
        <v>0</v>
      </c>
      <c r="X42" s="19">
        <f t="shared" si="58"/>
        <v>5000</v>
      </c>
      <c r="Y42" s="176"/>
      <c r="Z42" s="24"/>
      <c r="AA42" s="145">
        <v>1</v>
      </c>
      <c r="AB42" s="36">
        <f t="shared" si="59"/>
        <v>0</v>
      </c>
      <c r="AC42" s="37" t="s">
        <v>515</v>
      </c>
      <c r="AD42" s="30"/>
      <c r="AE42" s="30"/>
      <c r="AF42" s="30"/>
      <c r="AG42" s="30"/>
      <c r="AH42" s="30"/>
      <c r="AI42" s="30"/>
      <c r="AJ42" s="30"/>
      <c r="AK42" s="30"/>
      <c r="AL42" s="31" t="str">
        <f t="shared" si="60"/>
        <v/>
      </c>
      <c r="AM42" s="31" t="str">
        <f t="shared" si="61"/>
        <v/>
      </c>
      <c r="AN42" s="24"/>
      <c r="AO42" s="42">
        <f t="shared" si="62"/>
        <v>0</v>
      </c>
      <c r="AP42" s="43">
        <f t="shared" si="63"/>
        <v>0</v>
      </c>
      <c r="AQ42" s="44" t="s">
        <v>55</v>
      </c>
      <c r="AR42" s="30"/>
      <c r="AS42" s="30"/>
      <c r="AT42" s="30"/>
      <c r="AU42" s="30"/>
      <c r="AV42" s="30"/>
      <c r="AW42" s="30"/>
      <c r="AX42" s="30"/>
      <c r="AY42" s="30"/>
      <c r="AZ42" s="31" t="str">
        <f t="shared" si="64"/>
        <v/>
      </c>
      <c r="BA42" s="31" t="str">
        <f t="shared" si="65"/>
        <v/>
      </c>
      <c r="BB42" s="136"/>
    </row>
    <row r="43" spans="1:54" x14ac:dyDescent="0.2">
      <c r="A43" s="236">
        <v>1</v>
      </c>
      <c r="B43" s="166">
        <f>SUM($A$2:$A43)</f>
        <v>42</v>
      </c>
      <c r="C43" s="142" t="s">
        <v>706</v>
      </c>
      <c r="D43" s="142" t="s">
        <v>707</v>
      </c>
      <c r="E43" s="142" t="s">
        <v>715</v>
      </c>
      <c r="F43" s="142"/>
      <c r="G43" s="142"/>
      <c r="H43" s="142" t="s">
        <v>712</v>
      </c>
      <c r="I43" s="15" t="str">
        <f t="shared" si="55"/>
        <v>FSA.Davis.Retail.perSQFT</v>
      </c>
      <c r="J43" s="15"/>
      <c r="K43" s="97"/>
      <c r="L43" s="97"/>
      <c r="M43" s="20">
        <v>10000</v>
      </c>
      <c r="N43" s="20"/>
      <c r="O43" s="20"/>
      <c r="P43" s="20"/>
      <c r="Q43" s="20"/>
      <c r="R43" s="19"/>
      <c r="S43" s="19">
        <f t="shared" si="56"/>
        <v>10000</v>
      </c>
      <c r="T43" s="97"/>
      <c r="U43" s="19">
        <f t="shared" si="57"/>
        <v>0</v>
      </c>
      <c r="V43" s="19"/>
      <c r="W43" s="19">
        <v>0</v>
      </c>
      <c r="X43" s="19">
        <f t="shared" si="58"/>
        <v>10000</v>
      </c>
      <c r="Y43" s="176"/>
      <c r="Z43" s="24"/>
      <c r="AA43" s="145">
        <v>1</v>
      </c>
      <c r="AB43" s="36">
        <f t="shared" si="59"/>
        <v>0</v>
      </c>
      <c r="AC43" s="37" t="s">
        <v>515</v>
      </c>
      <c r="AD43" s="30"/>
      <c r="AE43" s="30"/>
      <c r="AF43" s="30"/>
      <c r="AG43" s="30"/>
      <c r="AH43" s="30"/>
      <c r="AI43" s="30"/>
      <c r="AJ43" s="30"/>
      <c r="AK43" s="30"/>
      <c r="AL43" s="31" t="str">
        <f t="shared" si="60"/>
        <v/>
      </c>
      <c r="AM43" s="31" t="str">
        <f t="shared" si="61"/>
        <v/>
      </c>
      <c r="AN43" s="24"/>
      <c r="AO43" s="42">
        <f t="shared" si="62"/>
        <v>0</v>
      </c>
      <c r="AP43" s="43">
        <f t="shared" si="63"/>
        <v>0</v>
      </c>
      <c r="AQ43" s="44" t="s">
        <v>55</v>
      </c>
      <c r="AR43" s="30"/>
      <c r="AS43" s="30"/>
      <c r="AT43" s="30"/>
      <c r="AU43" s="30"/>
      <c r="AV43" s="30"/>
      <c r="AW43" s="30"/>
      <c r="AX43" s="30"/>
      <c r="AY43" s="30"/>
      <c r="AZ43" s="31" t="str">
        <f t="shared" si="64"/>
        <v/>
      </c>
      <c r="BA43" s="31" t="str">
        <f t="shared" si="65"/>
        <v/>
      </c>
      <c r="BB43" s="136"/>
    </row>
    <row r="44" spans="1:54" x14ac:dyDescent="0.2">
      <c r="A44" s="236">
        <v>1</v>
      </c>
      <c r="B44" s="166">
        <f>SUM($A$2:$A44)</f>
        <v>43</v>
      </c>
      <c r="C44" s="142" t="s">
        <v>706</v>
      </c>
      <c r="D44" s="142" t="s">
        <v>707</v>
      </c>
      <c r="E44" s="142" t="s">
        <v>716</v>
      </c>
      <c r="F44" s="142"/>
      <c r="G44" s="142"/>
      <c r="H44" s="142" t="s">
        <v>712</v>
      </c>
      <c r="I44" s="157" t="str">
        <f t="shared" si="55"/>
        <v>FSA.Davis.Warehouse.perSQFT</v>
      </c>
      <c r="J44" s="157"/>
      <c r="K44" s="158"/>
      <c r="L44" s="158"/>
      <c r="M44" s="159">
        <v>20000</v>
      </c>
      <c r="N44" s="159"/>
      <c r="O44" s="159"/>
      <c r="P44" s="159"/>
      <c r="Q44" s="159"/>
      <c r="R44" s="160"/>
      <c r="S44" s="160">
        <f t="shared" si="56"/>
        <v>20000</v>
      </c>
      <c r="T44" s="158"/>
      <c r="U44" s="160">
        <f t="shared" si="57"/>
        <v>0</v>
      </c>
      <c r="V44" s="160"/>
      <c r="W44" s="160">
        <v>0</v>
      </c>
      <c r="X44" s="160">
        <f t="shared" si="58"/>
        <v>20000</v>
      </c>
      <c r="Y44" s="177"/>
      <c r="Z44" s="24"/>
      <c r="AA44" s="146">
        <v>1</v>
      </c>
      <c r="AB44" s="38">
        <f t="shared" si="59"/>
        <v>0</v>
      </c>
      <c r="AC44" s="39" t="s">
        <v>515</v>
      </c>
      <c r="AD44" s="32"/>
      <c r="AE44" s="32"/>
      <c r="AF44" s="32"/>
      <c r="AG44" s="32"/>
      <c r="AH44" s="32"/>
      <c r="AI44" s="32"/>
      <c r="AJ44" s="32"/>
      <c r="AK44" s="32"/>
      <c r="AL44" s="33" t="str">
        <f t="shared" si="60"/>
        <v/>
      </c>
      <c r="AM44" s="33" t="str">
        <f t="shared" si="61"/>
        <v/>
      </c>
      <c r="AN44" s="24"/>
      <c r="AO44" s="45">
        <f t="shared" si="62"/>
        <v>0</v>
      </c>
      <c r="AP44" s="46">
        <f t="shared" si="63"/>
        <v>0</v>
      </c>
      <c r="AQ44" s="47" t="s">
        <v>55</v>
      </c>
      <c r="AR44" s="32"/>
      <c r="AS44" s="32"/>
      <c r="AT44" s="32"/>
      <c r="AU44" s="32"/>
      <c r="AV44" s="32"/>
      <c r="AW44" s="32"/>
      <c r="AX44" s="32"/>
      <c r="AY44" s="32"/>
      <c r="AZ44" s="33" t="str">
        <f t="shared" si="64"/>
        <v/>
      </c>
      <c r="BA44" s="33" t="str">
        <f t="shared" si="65"/>
        <v/>
      </c>
      <c r="BB44" s="137"/>
    </row>
    <row r="45" spans="1:54" x14ac:dyDescent="0.2">
      <c r="A45" s="236">
        <v>1</v>
      </c>
      <c r="B45" s="166">
        <f>SUM($A$2:$A45)</f>
        <v>44</v>
      </c>
      <c r="C45" s="142" t="s">
        <v>706</v>
      </c>
      <c r="D45" s="142" t="s">
        <v>717</v>
      </c>
      <c r="E45" s="142" t="s">
        <v>708</v>
      </c>
      <c r="F45" s="142"/>
      <c r="G45" s="142"/>
      <c r="H45" s="142" t="s">
        <v>709</v>
      </c>
      <c r="I45" s="15" t="str">
        <f t="shared" si="55"/>
        <v>FSA.WestSac.CRC.perUnit</v>
      </c>
      <c r="J45" s="15"/>
      <c r="K45" s="97"/>
      <c r="L45" s="97"/>
      <c r="M45" s="20">
        <v>1</v>
      </c>
      <c r="N45" s="17"/>
      <c r="O45" s="17"/>
      <c r="P45" s="17"/>
      <c r="Q45" s="17"/>
      <c r="R45" s="19">
        <v>6514</v>
      </c>
      <c r="S45" s="19">
        <f t="shared" si="56"/>
        <v>6514</v>
      </c>
      <c r="T45" s="97"/>
      <c r="U45" s="19">
        <f t="shared" si="57"/>
        <v>0</v>
      </c>
      <c r="V45" s="19"/>
      <c r="W45" s="19">
        <v>0</v>
      </c>
      <c r="X45" s="19">
        <f t="shared" si="58"/>
        <v>6514</v>
      </c>
      <c r="Y45" s="176"/>
      <c r="Z45" s="24"/>
      <c r="AA45" s="145">
        <v>1</v>
      </c>
      <c r="AB45" s="36">
        <f t="shared" si="59"/>
        <v>0</v>
      </c>
      <c r="AC45" s="37" t="s">
        <v>515</v>
      </c>
      <c r="AD45" s="30"/>
      <c r="AE45" s="30"/>
      <c r="AF45" s="30"/>
      <c r="AG45" s="30"/>
      <c r="AH45" s="30"/>
      <c r="AI45" s="30"/>
      <c r="AJ45" s="30"/>
      <c r="AK45" s="30"/>
      <c r="AL45" s="31" t="str">
        <f t="shared" si="60"/>
        <v/>
      </c>
      <c r="AM45" s="31" t="str">
        <f t="shared" si="61"/>
        <v/>
      </c>
      <c r="AN45" s="24"/>
      <c r="AO45" s="42">
        <f t="shared" si="62"/>
        <v>0</v>
      </c>
      <c r="AP45" s="43">
        <f t="shared" si="63"/>
        <v>0</v>
      </c>
      <c r="AQ45" s="44" t="s">
        <v>55</v>
      </c>
      <c r="AR45" s="30"/>
      <c r="AS45" s="30"/>
      <c r="AT45" s="30"/>
      <c r="AU45" s="30"/>
      <c r="AV45" s="30"/>
      <c r="AW45" s="30"/>
      <c r="AX45" s="30"/>
      <c r="AY45" s="30"/>
      <c r="AZ45" s="31" t="str">
        <f t="shared" si="64"/>
        <v/>
      </c>
      <c r="BA45" s="31" t="str">
        <f t="shared" si="65"/>
        <v/>
      </c>
      <c r="BB45" s="136"/>
    </row>
    <row r="46" spans="1:54" x14ac:dyDescent="0.2">
      <c r="A46" s="236">
        <v>1</v>
      </c>
      <c r="B46" s="166">
        <f>SUM($A$2:$A46)</f>
        <v>45</v>
      </c>
      <c r="C46" s="142" t="s">
        <v>706</v>
      </c>
      <c r="D46" s="142" t="s">
        <v>717</v>
      </c>
      <c r="E46" s="142" t="s">
        <v>710</v>
      </c>
      <c r="F46" s="142"/>
      <c r="G46" s="142"/>
      <c r="H46" s="142" t="s">
        <v>616</v>
      </c>
      <c r="I46" s="15" t="str">
        <f t="shared" si="55"/>
        <v>FSA.WestSac.ADU1.Flat</v>
      </c>
      <c r="J46" s="15"/>
      <c r="K46" s="97"/>
      <c r="L46" s="97"/>
      <c r="M46" s="20">
        <v>1</v>
      </c>
      <c r="N46" s="17"/>
      <c r="O46" s="17"/>
      <c r="P46" s="17"/>
      <c r="Q46" s="17"/>
      <c r="R46" s="19">
        <v>0</v>
      </c>
      <c r="S46" s="19">
        <f t="shared" si="56"/>
        <v>0</v>
      </c>
      <c r="T46" s="97"/>
      <c r="U46" s="19">
        <f t="shared" si="57"/>
        <v>0</v>
      </c>
      <c r="V46" s="19"/>
      <c r="W46" s="19">
        <v>0</v>
      </c>
      <c r="X46" s="19">
        <f t="shared" si="58"/>
        <v>0</v>
      </c>
      <c r="Y46" s="176"/>
      <c r="Z46" s="24"/>
      <c r="AA46" s="145">
        <v>1</v>
      </c>
      <c r="AB46" s="36">
        <f t="shared" si="59"/>
        <v>0</v>
      </c>
      <c r="AC46" s="37" t="s">
        <v>515</v>
      </c>
      <c r="AD46" s="30"/>
      <c r="AE46" s="30"/>
      <c r="AF46" s="30"/>
      <c r="AG46" s="30"/>
      <c r="AH46" s="30"/>
      <c r="AI46" s="30"/>
      <c r="AJ46" s="30"/>
      <c r="AK46" s="30"/>
      <c r="AL46" s="31" t="str">
        <f t="shared" si="60"/>
        <v/>
      </c>
      <c r="AM46" s="31" t="str">
        <f t="shared" si="61"/>
        <v/>
      </c>
      <c r="AN46" s="24"/>
      <c r="AO46" s="42">
        <f t="shared" si="62"/>
        <v>0</v>
      </c>
      <c r="AP46" s="43">
        <f t="shared" si="63"/>
        <v>0</v>
      </c>
      <c r="AQ46" s="44" t="s">
        <v>55</v>
      </c>
      <c r="AR46" s="30"/>
      <c r="AS46" s="30"/>
      <c r="AT46" s="30"/>
      <c r="AU46" s="30"/>
      <c r="AV46" s="30"/>
      <c r="AW46" s="30"/>
      <c r="AX46" s="30"/>
      <c r="AY46" s="30"/>
      <c r="AZ46" s="31" t="str">
        <f t="shared" si="64"/>
        <v/>
      </c>
      <c r="BA46" s="31" t="str">
        <f t="shared" si="65"/>
        <v/>
      </c>
      <c r="BB46" s="136"/>
    </row>
    <row r="47" spans="1:54" x14ac:dyDescent="0.2">
      <c r="A47" s="236">
        <v>1</v>
      </c>
      <c r="B47" s="166">
        <f>SUM($A$2:$A47)</f>
        <v>46</v>
      </c>
      <c r="C47" s="142" t="s">
        <v>706</v>
      </c>
      <c r="D47" s="142" t="s">
        <v>717</v>
      </c>
      <c r="E47" s="142" t="s">
        <v>711</v>
      </c>
      <c r="F47" s="142"/>
      <c r="G47" s="142"/>
      <c r="H47" s="142" t="s">
        <v>712</v>
      </c>
      <c r="I47" s="15" t="str">
        <f t="shared" si="55"/>
        <v>FSA.WestSac.ADU2.perSQFT</v>
      </c>
      <c r="J47" s="15"/>
      <c r="K47" s="97"/>
      <c r="L47" s="97"/>
      <c r="M47" s="20">
        <v>0.4</v>
      </c>
      <c r="N47" s="17"/>
      <c r="O47" s="17"/>
      <c r="P47" s="17"/>
      <c r="Q47" s="17"/>
      <c r="R47" s="19">
        <f>R45*M47</f>
        <v>2605.6000000000004</v>
      </c>
      <c r="S47" s="19">
        <f t="shared" si="56"/>
        <v>1042.2400000000002</v>
      </c>
      <c r="T47" s="97"/>
      <c r="U47" s="19">
        <f t="shared" si="57"/>
        <v>0</v>
      </c>
      <c r="V47" s="19"/>
      <c r="W47" s="19">
        <v>0</v>
      </c>
      <c r="X47" s="19">
        <f t="shared" si="58"/>
        <v>1042.2400000000002</v>
      </c>
      <c r="Y47" s="176"/>
      <c r="Z47" s="24"/>
      <c r="AA47" s="145">
        <v>1</v>
      </c>
      <c r="AB47" s="36">
        <f t="shared" si="59"/>
        <v>0</v>
      </c>
      <c r="AC47" s="37" t="s">
        <v>515</v>
      </c>
      <c r="AD47" s="30"/>
      <c r="AE47" s="30"/>
      <c r="AF47" s="30"/>
      <c r="AG47" s="30"/>
      <c r="AH47" s="30"/>
      <c r="AI47" s="30"/>
      <c r="AJ47" s="30"/>
      <c r="AK47" s="30"/>
      <c r="AL47" s="31" t="str">
        <f t="shared" si="60"/>
        <v/>
      </c>
      <c r="AM47" s="31" t="str">
        <f t="shared" si="61"/>
        <v/>
      </c>
      <c r="AN47" s="24"/>
      <c r="AO47" s="42">
        <f t="shared" si="62"/>
        <v>0</v>
      </c>
      <c r="AP47" s="43">
        <f t="shared" si="63"/>
        <v>0</v>
      </c>
      <c r="AQ47" s="44" t="s">
        <v>55</v>
      </c>
      <c r="AR47" s="30"/>
      <c r="AS47" s="30"/>
      <c r="AT47" s="30"/>
      <c r="AU47" s="30"/>
      <c r="AV47" s="30"/>
      <c r="AW47" s="30"/>
      <c r="AX47" s="30"/>
      <c r="AY47" s="30"/>
      <c r="AZ47" s="31" t="str">
        <f t="shared" si="64"/>
        <v/>
      </c>
      <c r="BA47" s="31" t="str">
        <f t="shared" si="65"/>
        <v/>
      </c>
      <c r="BB47" s="136"/>
    </row>
    <row r="48" spans="1:54" x14ac:dyDescent="0.2">
      <c r="A48" s="236">
        <v>1</v>
      </c>
      <c r="B48" s="166">
        <f>SUM($A$2:$A48)</f>
        <v>47</v>
      </c>
      <c r="C48" s="142" t="s">
        <v>706</v>
      </c>
      <c r="D48" s="142" t="s">
        <v>717</v>
      </c>
      <c r="E48" s="142" t="s">
        <v>713</v>
      </c>
      <c r="F48" s="142"/>
      <c r="G48" s="142"/>
      <c r="H48" s="142" t="s">
        <v>712</v>
      </c>
      <c r="I48" s="15" t="str">
        <f t="shared" si="55"/>
        <v>FSA.WestSac.Factory.perSQFT</v>
      </c>
      <c r="J48" s="15"/>
      <c r="K48" s="97"/>
      <c r="L48" s="97"/>
      <c r="M48" s="20">
        <v>10000</v>
      </c>
      <c r="N48" s="17"/>
      <c r="O48" s="17"/>
      <c r="P48" s="17"/>
      <c r="Q48" s="17"/>
      <c r="R48" s="19"/>
      <c r="S48" s="19">
        <f t="shared" si="56"/>
        <v>10000</v>
      </c>
      <c r="T48" s="97"/>
      <c r="U48" s="19">
        <f t="shared" si="57"/>
        <v>0</v>
      </c>
      <c r="V48" s="19"/>
      <c r="W48" s="19">
        <v>0</v>
      </c>
      <c r="X48" s="19">
        <f t="shared" si="58"/>
        <v>10000</v>
      </c>
      <c r="Y48" s="176"/>
      <c r="Z48" s="24"/>
      <c r="AA48" s="145">
        <v>1</v>
      </c>
      <c r="AB48" s="36">
        <f t="shared" si="59"/>
        <v>0</v>
      </c>
      <c r="AC48" s="37" t="s">
        <v>515</v>
      </c>
      <c r="AD48" s="30"/>
      <c r="AE48" s="30"/>
      <c r="AF48" s="30"/>
      <c r="AG48" s="30"/>
      <c r="AH48" s="30"/>
      <c r="AI48" s="30"/>
      <c r="AJ48" s="30"/>
      <c r="AK48" s="30"/>
      <c r="AL48" s="31" t="str">
        <f t="shared" si="60"/>
        <v/>
      </c>
      <c r="AM48" s="31" t="str">
        <f t="shared" si="61"/>
        <v/>
      </c>
      <c r="AN48" s="24"/>
      <c r="AO48" s="42">
        <f t="shared" si="62"/>
        <v>0</v>
      </c>
      <c r="AP48" s="43">
        <f t="shared" si="63"/>
        <v>0</v>
      </c>
      <c r="AQ48" s="44" t="s">
        <v>55</v>
      </c>
      <c r="AR48" s="30"/>
      <c r="AS48" s="30"/>
      <c r="AT48" s="30"/>
      <c r="AU48" s="30"/>
      <c r="AV48" s="30"/>
      <c r="AW48" s="30"/>
      <c r="AX48" s="30"/>
      <c r="AY48" s="30"/>
      <c r="AZ48" s="31" t="str">
        <f t="shared" si="64"/>
        <v/>
      </c>
      <c r="BA48" s="31" t="str">
        <f t="shared" si="65"/>
        <v/>
      </c>
      <c r="BB48" s="136"/>
    </row>
    <row r="49" spans="1:54" x14ac:dyDescent="0.2">
      <c r="A49" s="236">
        <v>1</v>
      </c>
      <c r="B49" s="166">
        <f>SUM($A$2:$A49)</f>
        <v>48</v>
      </c>
      <c r="C49" s="142" t="s">
        <v>706</v>
      </c>
      <c r="D49" s="142" t="s">
        <v>717</v>
      </c>
      <c r="E49" s="142" t="s">
        <v>714</v>
      </c>
      <c r="F49" s="142"/>
      <c r="G49" s="142"/>
      <c r="H49" s="142" t="s">
        <v>712</v>
      </c>
      <c r="I49" s="15" t="str">
        <f t="shared" si="55"/>
        <v>FSA.WestSac.Office.perSQFT</v>
      </c>
      <c r="J49" s="15"/>
      <c r="K49" s="97"/>
      <c r="L49" s="97"/>
      <c r="M49" s="20">
        <v>5000</v>
      </c>
      <c r="N49" s="17"/>
      <c r="O49" s="17"/>
      <c r="P49" s="17"/>
      <c r="Q49" s="17"/>
      <c r="R49" s="19"/>
      <c r="S49" s="19">
        <f t="shared" si="56"/>
        <v>5000</v>
      </c>
      <c r="T49" s="97"/>
      <c r="U49" s="19">
        <f t="shared" si="57"/>
        <v>0</v>
      </c>
      <c r="V49" s="19"/>
      <c r="W49" s="19">
        <v>0</v>
      </c>
      <c r="X49" s="19">
        <f t="shared" si="58"/>
        <v>5000</v>
      </c>
      <c r="Y49" s="176"/>
      <c r="Z49" s="24"/>
      <c r="AA49" s="145">
        <v>1</v>
      </c>
      <c r="AB49" s="36">
        <f t="shared" si="59"/>
        <v>0</v>
      </c>
      <c r="AC49" s="37" t="s">
        <v>515</v>
      </c>
      <c r="AD49" s="30"/>
      <c r="AE49" s="30"/>
      <c r="AF49" s="30"/>
      <c r="AG49" s="30"/>
      <c r="AH49" s="30"/>
      <c r="AI49" s="30"/>
      <c r="AJ49" s="30"/>
      <c r="AK49" s="30"/>
      <c r="AL49" s="31" t="str">
        <f t="shared" si="60"/>
        <v/>
      </c>
      <c r="AM49" s="31" t="str">
        <f t="shared" si="61"/>
        <v/>
      </c>
      <c r="AN49" s="24"/>
      <c r="AO49" s="42">
        <f t="shared" si="62"/>
        <v>0</v>
      </c>
      <c r="AP49" s="43">
        <f t="shared" si="63"/>
        <v>0</v>
      </c>
      <c r="AQ49" s="44" t="s">
        <v>55</v>
      </c>
      <c r="AR49" s="30"/>
      <c r="AS49" s="30"/>
      <c r="AT49" s="30"/>
      <c r="AU49" s="30"/>
      <c r="AV49" s="30"/>
      <c r="AW49" s="30"/>
      <c r="AX49" s="30"/>
      <c r="AY49" s="30"/>
      <c r="AZ49" s="31" t="str">
        <f t="shared" si="64"/>
        <v/>
      </c>
      <c r="BA49" s="31" t="str">
        <f t="shared" si="65"/>
        <v/>
      </c>
      <c r="BB49" s="136"/>
    </row>
    <row r="50" spans="1:54" x14ac:dyDescent="0.2">
      <c r="A50" s="236">
        <v>1</v>
      </c>
      <c r="B50" s="166">
        <f>SUM($A$2:$A50)</f>
        <v>49</v>
      </c>
      <c r="C50" s="142" t="s">
        <v>706</v>
      </c>
      <c r="D50" s="142" t="s">
        <v>717</v>
      </c>
      <c r="E50" s="142" t="s">
        <v>715</v>
      </c>
      <c r="F50" s="142"/>
      <c r="G50" s="142"/>
      <c r="H50" s="142" t="s">
        <v>712</v>
      </c>
      <c r="I50" s="15" t="str">
        <f t="shared" si="55"/>
        <v>FSA.WestSac.Retail.perSQFT</v>
      </c>
      <c r="J50" s="15"/>
      <c r="K50" s="97"/>
      <c r="L50" s="97"/>
      <c r="M50" s="20">
        <v>10000</v>
      </c>
      <c r="N50" s="20"/>
      <c r="O50" s="20"/>
      <c r="P50" s="20"/>
      <c r="Q50" s="20"/>
      <c r="R50" s="19"/>
      <c r="S50" s="19">
        <f t="shared" si="56"/>
        <v>10000</v>
      </c>
      <c r="T50" s="97"/>
      <c r="U50" s="19">
        <f t="shared" si="57"/>
        <v>0</v>
      </c>
      <c r="V50" s="19"/>
      <c r="W50" s="19">
        <v>0</v>
      </c>
      <c r="X50" s="19">
        <f t="shared" si="58"/>
        <v>10000</v>
      </c>
      <c r="Y50" s="176"/>
      <c r="Z50" s="24"/>
      <c r="AA50" s="145">
        <v>1</v>
      </c>
      <c r="AB50" s="36">
        <f t="shared" si="59"/>
        <v>0</v>
      </c>
      <c r="AC50" s="37" t="s">
        <v>515</v>
      </c>
      <c r="AD50" s="30"/>
      <c r="AE50" s="30"/>
      <c r="AF50" s="30"/>
      <c r="AG50" s="30"/>
      <c r="AH50" s="30"/>
      <c r="AI50" s="30"/>
      <c r="AJ50" s="30"/>
      <c r="AK50" s="30"/>
      <c r="AL50" s="31" t="str">
        <f t="shared" si="60"/>
        <v/>
      </c>
      <c r="AM50" s="31" t="str">
        <f t="shared" si="61"/>
        <v/>
      </c>
      <c r="AN50" s="24"/>
      <c r="AO50" s="42">
        <f t="shared" si="62"/>
        <v>0</v>
      </c>
      <c r="AP50" s="43">
        <f t="shared" si="63"/>
        <v>0</v>
      </c>
      <c r="AQ50" s="44" t="s">
        <v>55</v>
      </c>
      <c r="AR50" s="30"/>
      <c r="AS50" s="30"/>
      <c r="AT50" s="30"/>
      <c r="AU50" s="30"/>
      <c r="AV50" s="30"/>
      <c r="AW50" s="30"/>
      <c r="AX50" s="30"/>
      <c r="AY50" s="30"/>
      <c r="AZ50" s="31" t="str">
        <f t="shared" si="64"/>
        <v/>
      </c>
      <c r="BA50" s="31" t="str">
        <f t="shared" si="65"/>
        <v/>
      </c>
      <c r="BB50" s="136"/>
    </row>
    <row r="51" spans="1:54" x14ac:dyDescent="0.2">
      <c r="A51" s="236">
        <v>1</v>
      </c>
      <c r="B51" s="166">
        <f>SUM($A$2:$A51)</f>
        <v>50</v>
      </c>
      <c r="C51" s="142" t="s">
        <v>706</v>
      </c>
      <c r="D51" s="142" t="s">
        <v>717</v>
      </c>
      <c r="E51" s="142" t="s">
        <v>716</v>
      </c>
      <c r="F51" s="142"/>
      <c r="G51" s="142"/>
      <c r="H51" s="142" t="s">
        <v>712</v>
      </c>
      <c r="I51" s="157" t="str">
        <f t="shared" si="55"/>
        <v>FSA.WestSac.Warehouse.perSQFT</v>
      </c>
      <c r="J51" s="157"/>
      <c r="K51" s="158"/>
      <c r="L51" s="158"/>
      <c r="M51" s="159">
        <v>20000</v>
      </c>
      <c r="N51" s="159"/>
      <c r="O51" s="159"/>
      <c r="P51" s="159"/>
      <c r="Q51" s="159"/>
      <c r="R51" s="160"/>
      <c r="S51" s="160">
        <f t="shared" si="56"/>
        <v>20000</v>
      </c>
      <c r="T51" s="158"/>
      <c r="U51" s="160">
        <f t="shared" si="57"/>
        <v>0</v>
      </c>
      <c r="V51" s="160"/>
      <c r="W51" s="160">
        <v>0</v>
      </c>
      <c r="X51" s="160">
        <f t="shared" si="58"/>
        <v>20000</v>
      </c>
      <c r="Y51" s="177"/>
      <c r="Z51" s="24"/>
      <c r="AA51" s="146">
        <v>1</v>
      </c>
      <c r="AB51" s="38">
        <f t="shared" si="59"/>
        <v>0</v>
      </c>
      <c r="AC51" s="39" t="s">
        <v>515</v>
      </c>
      <c r="AD51" s="32"/>
      <c r="AE51" s="32"/>
      <c r="AF51" s="32"/>
      <c r="AG51" s="32"/>
      <c r="AH51" s="32"/>
      <c r="AI51" s="32"/>
      <c r="AJ51" s="32"/>
      <c r="AK51" s="32"/>
      <c r="AL51" s="33" t="str">
        <f t="shared" si="60"/>
        <v/>
      </c>
      <c r="AM51" s="33" t="str">
        <f t="shared" si="61"/>
        <v/>
      </c>
      <c r="AN51" s="24"/>
      <c r="AO51" s="45">
        <f t="shared" si="62"/>
        <v>0</v>
      </c>
      <c r="AP51" s="46">
        <f t="shared" si="63"/>
        <v>0</v>
      </c>
      <c r="AQ51" s="47" t="s">
        <v>55</v>
      </c>
      <c r="AR51" s="32"/>
      <c r="AS51" s="32"/>
      <c r="AT51" s="32"/>
      <c r="AU51" s="32"/>
      <c r="AV51" s="32"/>
      <c r="AW51" s="32"/>
      <c r="AX51" s="32"/>
      <c r="AY51" s="32"/>
      <c r="AZ51" s="33" t="str">
        <f t="shared" si="64"/>
        <v/>
      </c>
      <c r="BA51" s="33" t="str">
        <f t="shared" si="65"/>
        <v/>
      </c>
      <c r="BB51" s="137"/>
    </row>
    <row r="52" spans="1:54" x14ac:dyDescent="0.2">
      <c r="A52" s="236">
        <v>1</v>
      </c>
      <c r="B52" s="166">
        <f>SUM($A$2:$A52)</f>
        <v>51</v>
      </c>
      <c r="C52" s="142" t="s">
        <v>706</v>
      </c>
      <c r="D52" s="142" t="s">
        <v>718</v>
      </c>
      <c r="E52" s="142" t="s">
        <v>708</v>
      </c>
      <c r="F52" s="142"/>
      <c r="G52" s="142"/>
      <c r="H52" s="142" t="s">
        <v>709</v>
      </c>
      <c r="I52" s="15" t="str">
        <f t="shared" si="55"/>
        <v>FSA.Winters.CRC.perUnit</v>
      </c>
      <c r="J52" s="15"/>
      <c r="K52" s="97"/>
      <c r="L52" s="97"/>
      <c r="M52" s="20">
        <v>1</v>
      </c>
      <c r="N52" s="17"/>
      <c r="O52" s="17"/>
      <c r="P52" s="17"/>
      <c r="Q52" s="17"/>
      <c r="R52" s="19">
        <v>6514</v>
      </c>
      <c r="S52" s="19">
        <f t="shared" si="1"/>
        <v>6514</v>
      </c>
      <c r="T52" s="97"/>
      <c r="U52" s="19">
        <f t="shared" si="8"/>
        <v>0</v>
      </c>
      <c r="V52" s="19"/>
      <c r="W52" s="19">
        <v>0</v>
      </c>
      <c r="X52" s="19">
        <f t="shared" si="9"/>
        <v>6514</v>
      </c>
      <c r="Y52" s="176"/>
      <c r="Z52" s="24"/>
      <c r="AA52" s="145">
        <v>1</v>
      </c>
      <c r="AB52" s="36">
        <f t="shared" si="2"/>
        <v>0</v>
      </c>
      <c r="AC52" s="37" t="s">
        <v>515</v>
      </c>
      <c r="AD52" s="30"/>
      <c r="AE52" s="30"/>
      <c r="AF52" s="30"/>
      <c r="AG52" s="30"/>
      <c r="AH52" s="30"/>
      <c r="AI52" s="30"/>
      <c r="AJ52" s="30"/>
      <c r="AK52" s="30"/>
      <c r="AL52" s="31" t="str">
        <f t="shared" si="41"/>
        <v/>
      </c>
      <c r="AM52" s="31" t="str">
        <f t="shared" si="42"/>
        <v/>
      </c>
      <c r="AN52" s="24"/>
      <c r="AO52" s="42">
        <f t="shared" si="10"/>
        <v>0</v>
      </c>
      <c r="AP52" s="43">
        <f t="shared" si="5"/>
        <v>0</v>
      </c>
      <c r="AQ52" s="44" t="s">
        <v>55</v>
      </c>
      <c r="AR52" s="30"/>
      <c r="AS52" s="30"/>
      <c r="AT52" s="30"/>
      <c r="AU52" s="30"/>
      <c r="AV52" s="30"/>
      <c r="AW52" s="30"/>
      <c r="AX52" s="30"/>
      <c r="AY52" s="30"/>
      <c r="AZ52" s="31" t="str">
        <f t="shared" si="43"/>
        <v/>
      </c>
      <c r="BA52" s="31" t="str">
        <f t="shared" si="44"/>
        <v/>
      </c>
      <c r="BB52" s="136"/>
    </row>
    <row r="53" spans="1:54" x14ac:dyDescent="0.2">
      <c r="A53" s="236">
        <v>1</v>
      </c>
      <c r="B53" s="166">
        <f>SUM($A$2:$A53)</f>
        <v>52</v>
      </c>
      <c r="C53" s="142" t="s">
        <v>706</v>
      </c>
      <c r="D53" s="142" t="s">
        <v>718</v>
      </c>
      <c r="E53" s="142" t="s">
        <v>710</v>
      </c>
      <c r="F53" s="142"/>
      <c r="G53" s="142"/>
      <c r="H53" s="142" t="s">
        <v>616</v>
      </c>
      <c r="I53" s="15" t="str">
        <f t="shared" si="55"/>
        <v>FSA.Winters.ADU1.Flat</v>
      </c>
      <c r="J53" s="15"/>
      <c r="K53" s="97"/>
      <c r="L53" s="97"/>
      <c r="M53" s="20">
        <v>1</v>
      </c>
      <c r="N53" s="17"/>
      <c r="O53" s="17"/>
      <c r="P53" s="17"/>
      <c r="Q53" s="17"/>
      <c r="R53" s="19">
        <v>0</v>
      </c>
      <c r="S53" s="19">
        <f t="shared" si="1"/>
        <v>0</v>
      </c>
      <c r="T53" s="97"/>
      <c r="U53" s="19">
        <f t="shared" si="8"/>
        <v>0</v>
      </c>
      <c r="V53" s="19"/>
      <c r="W53" s="19">
        <v>0</v>
      </c>
      <c r="X53" s="19">
        <f t="shared" si="9"/>
        <v>0</v>
      </c>
      <c r="Y53" s="176"/>
      <c r="Z53" s="24"/>
      <c r="AA53" s="145">
        <v>1</v>
      </c>
      <c r="AB53" s="36">
        <f t="shared" si="2"/>
        <v>0</v>
      </c>
      <c r="AC53" s="37" t="s">
        <v>515</v>
      </c>
      <c r="AD53" s="30"/>
      <c r="AE53" s="30"/>
      <c r="AF53" s="30"/>
      <c r="AG53" s="30"/>
      <c r="AH53" s="30"/>
      <c r="AI53" s="30"/>
      <c r="AJ53" s="30"/>
      <c r="AK53" s="30"/>
      <c r="AL53" s="31" t="str">
        <f t="shared" si="41"/>
        <v/>
      </c>
      <c r="AM53" s="31" t="str">
        <f t="shared" si="42"/>
        <v/>
      </c>
      <c r="AN53" s="24"/>
      <c r="AO53" s="42">
        <f t="shared" si="10"/>
        <v>0</v>
      </c>
      <c r="AP53" s="43">
        <f t="shared" si="5"/>
        <v>0</v>
      </c>
      <c r="AQ53" s="44" t="s">
        <v>55</v>
      </c>
      <c r="AR53" s="30"/>
      <c r="AS53" s="30"/>
      <c r="AT53" s="30"/>
      <c r="AU53" s="30"/>
      <c r="AV53" s="30"/>
      <c r="AW53" s="30"/>
      <c r="AX53" s="30"/>
      <c r="AY53" s="30"/>
      <c r="AZ53" s="31" t="str">
        <f t="shared" si="43"/>
        <v/>
      </c>
      <c r="BA53" s="31" t="str">
        <f t="shared" si="44"/>
        <v/>
      </c>
      <c r="BB53" s="136"/>
    </row>
    <row r="54" spans="1:54" x14ac:dyDescent="0.2">
      <c r="A54" s="236">
        <v>1</v>
      </c>
      <c r="B54" s="166">
        <f>SUM($A$2:$A54)</f>
        <v>53</v>
      </c>
      <c r="C54" s="142" t="s">
        <v>706</v>
      </c>
      <c r="D54" s="142" t="s">
        <v>718</v>
      </c>
      <c r="E54" s="142" t="s">
        <v>711</v>
      </c>
      <c r="F54" s="142"/>
      <c r="G54" s="142"/>
      <c r="H54" s="142" t="s">
        <v>712</v>
      </c>
      <c r="I54" s="15" t="str">
        <f t="shared" si="55"/>
        <v>FSA.Winters.ADU2.perSQFT</v>
      </c>
      <c r="J54" s="15"/>
      <c r="K54" s="97"/>
      <c r="L54" s="97"/>
      <c r="M54" s="20">
        <v>0.4</v>
      </c>
      <c r="N54" s="17"/>
      <c r="O54" s="17"/>
      <c r="P54" s="17"/>
      <c r="Q54" s="17"/>
      <c r="R54" s="19">
        <f>R52*M54</f>
        <v>2605.6000000000004</v>
      </c>
      <c r="S54" s="19">
        <f t="shared" si="1"/>
        <v>1042.2400000000002</v>
      </c>
      <c r="T54" s="97"/>
      <c r="U54" s="19">
        <f t="shared" si="8"/>
        <v>0</v>
      </c>
      <c r="V54" s="19"/>
      <c r="W54" s="19">
        <v>0</v>
      </c>
      <c r="X54" s="19">
        <f t="shared" si="9"/>
        <v>1042.2400000000002</v>
      </c>
      <c r="Y54" s="176"/>
      <c r="Z54" s="24"/>
      <c r="AA54" s="145">
        <v>1</v>
      </c>
      <c r="AB54" s="36">
        <f t="shared" si="2"/>
        <v>0</v>
      </c>
      <c r="AC54" s="37" t="s">
        <v>515</v>
      </c>
      <c r="AD54" s="30"/>
      <c r="AE54" s="30"/>
      <c r="AF54" s="30"/>
      <c r="AG54" s="30"/>
      <c r="AH54" s="30"/>
      <c r="AI54" s="30"/>
      <c r="AJ54" s="30"/>
      <c r="AK54" s="30"/>
      <c r="AL54" s="31" t="str">
        <f t="shared" si="41"/>
        <v/>
      </c>
      <c r="AM54" s="31" t="str">
        <f t="shared" si="42"/>
        <v/>
      </c>
      <c r="AN54" s="24"/>
      <c r="AO54" s="42">
        <f t="shared" si="10"/>
        <v>0</v>
      </c>
      <c r="AP54" s="43">
        <f t="shared" si="5"/>
        <v>0</v>
      </c>
      <c r="AQ54" s="44" t="s">
        <v>55</v>
      </c>
      <c r="AR54" s="30"/>
      <c r="AS54" s="30"/>
      <c r="AT54" s="30"/>
      <c r="AU54" s="30"/>
      <c r="AV54" s="30"/>
      <c r="AW54" s="30"/>
      <c r="AX54" s="30"/>
      <c r="AY54" s="30"/>
      <c r="AZ54" s="31" t="str">
        <f t="shared" si="43"/>
        <v/>
      </c>
      <c r="BA54" s="31" t="str">
        <f t="shared" si="44"/>
        <v/>
      </c>
      <c r="BB54" s="136"/>
    </row>
    <row r="55" spans="1:54" x14ac:dyDescent="0.2">
      <c r="A55" s="236">
        <v>1</v>
      </c>
      <c r="B55" s="166">
        <f>SUM($A$2:$A55)</f>
        <v>54</v>
      </c>
      <c r="C55" s="142" t="s">
        <v>706</v>
      </c>
      <c r="D55" s="142" t="s">
        <v>718</v>
      </c>
      <c r="E55" s="142" t="s">
        <v>713</v>
      </c>
      <c r="F55" s="142"/>
      <c r="G55" s="142"/>
      <c r="H55" s="142" t="s">
        <v>712</v>
      </c>
      <c r="I55" s="15" t="str">
        <f t="shared" si="55"/>
        <v>FSA.Winters.Factory.perSQFT</v>
      </c>
      <c r="J55" s="15"/>
      <c r="K55" s="97"/>
      <c r="L55" s="97"/>
      <c r="M55" s="20">
        <v>10000</v>
      </c>
      <c r="N55" s="17"/>
      <c r="O55" s="17"/>
      <c r="P55" s="17"/>
      <c r="Q55" s="17"/>
      <c r="R55" s="19"/>
      <c r="S55" s="19">
        <f t="shared" si="1"/>
        <v>10000</v>
      </c>
      <c r="T55" s="97"/>
      <c r="U55" s="19">
        <f t="shared" si="8"/>
        <v>0</v>
      </c>
      <c r="V55" s="19"/>
      <c r="W55" s="19">
        <v>0</v>
      </c>
      <c r="X55" s="19">
        <f t="shared" si="9"/>
        <v>10000</v>
      </c>
      <c r="Y55" s="176"/>
      <c r="Z55" s="24"/>
      <c r="AA55" s="145">
        <v>1</v>
      </c>
      <c r="AB55" s="36">
        <f t="shared" si="2"/>
        <v>0</v>
      </c>
      <c r="AC55" s="37" t="s">
        <v>515</v>
      </c>
      <c r="AD55" s="30"/>
      <c r="AE55" s="30"/>
      <c r="AF55" s="30"/>
      <c r="AG55" s="30"/>
      <c r="AH55" s="30"/>
      <c r="AI55" s="30"/>
      <c r="AJ55" s="30"/>
      <c r="AK55" s="30"/>
      <c r="AL55" s="31" t="str">
        <f t="shared" si="41"/>
        <v/>
      </c>
      <c r="AM55" s="31" t="str">
        <f t="shared" si="42"/>
        <v/>
      </c>
      <c r="AN55" s="24"/>
      <c r="AO55" s="42">
        <f t="shared" si="10"/>
        <v>0</v>
      </c>
      <c r="AP55" s="43">
        <f t="shared" si="5"/>
        <v>0</v>
      </c>
      <c r="AQ55" s="44" t="s">
        <v>55</v>
      </c>
      <c r="AR55" s="30"/>
      <c r="AS55" s="30"/>
      <c r="AT55" s="30"/>
      <c r="AU55" s="30"/>
      <c r="AV55" s="30"/>
      <c r="AW55" s="30"/>
      <c r="AX55" s="30"/>
      <c r="AY55" s="30"/>
      <c r="AZ55" s="31" t="str">
        <f t="shared" si="43"/>
        <v/>
      </c>
      <c r="BA55" s="31" t="str">
        <f t="shared" si="44"/>
        <v/>
      </c>
      <c r="BB55" s="136"/>
    </row>
    <row r="56" spans="1:54" x14ac:dyDescent="0.2">
      <c r="A56" s="236">
        <v>1</v>
      </c>
      <c r="B56" s="166">
        <f>SUM($A$2:$A56)</f>
        <v>55</v>
      </c>
      <c r="C56" s="142" t="s">
        <v>706</v>
      </c>
      <c r="D56" s="142" t="s">
        <v>718</v>
      </c>
      <c r="E56" s="142" t="s">
        <v>714</v>
      </c>
      <c r="F56" s="142"/>
      <c r="G56" s="142"/>
      <c r="H56" s="142" t="s">
        <v>712</v>
      </c>
      <c r="I56" s="15" t="str">
        <f t="shared" si="55"/>
        <v>FSA.Winters.Office.perSQFT</v>
      </c>
      <c r="J56" s="15"/>
      <c r="K56" s="97"/>
      <c r="L56" s="97"/>
      <c r="M56" s="20">
        <v>5000</v>
      </c>
      <c r="N56" s="17"/>
      <c r="O56" s="17"/>
      <c r="P56" s="17"/>
      <c r="Q56" s="17"/>
      <c r="R56" s="19"/>
      <c r="S56" s="19">
        <f t="shared" si="1"/>
        <v>5000</v>
      </c>
      <c r="T56" s="97"/>
      <c r="U56" s="19">
        <f t="shared" si="8"/>
        <v>0</v>
      </c>
      <c r="V56" s="19"/>
      <c r="W56" s="19">
        <v>0</v>
      </c>
      <c r="X56" s="19">
        <f t="shared" si="9"/>
        <v>5000</v>
      </c>
      <c r="Y56" s="176"/>
      <c r="Z56" s="24"/>
      <c r="AA56" s="145">
        <v>1</v>
      </c>
      <c r="AB56" s="36">
        <f t="shared" si="2"/>
        <v>0</v>
      </c>
      <c r="AC56" s="37" t="s">
        <v>515</v>
      </c>
      <c r="AD56" s="30"/>
      <c r="AE56" s="30"/>
      <c r="AF56" s="30"/>
      <c r="AG56" s="30"/>
      <c r="AH56" s="30"/>
      <c r="AI56" s="30"/>
      <c r="AJ56" s="30"/>
      <c r="AK56" s="30"/>
      <c r="AL56" s="31" t="str">
        <f t="shared" si="41"/>
        <v/>
      </c>
      <c r="AM56" s="31" t="str">
        <f t="shared" si="42"/>
        <v/>
      </c>
      <c r="AN56" s="24"/>
      <c r="AO56" s="42">
        <f t="shared" si="10"/>
        <v>0</v>
      </c>
      <c r="AP56" s="43">
        <f t="shared" si="5"/>
        <v>0</v>
      </c>
      <c r="AQ56" s="44" t="s">
        <v>55</v>
      </c>
      <c r="AR56" s="30"/>
      <c r="AS56" s="30"/>
      <c r="AT56" s="30"/>
      <c r="AU56" s="30"/>
      <c r="AV56" s="30"/>
      <c r="AW56" s="30"/>
      <c r="AX56" s="30"/>
      <c r="AY56" s="30"/>
      <c r="AZ56" s="31" t="str">
        <f t="shared" si="43"/>
        <v/>
      </c>
      <c r="BA56" s="31" t="str">
        <f t="shared" si="44"/>
        <v/>
      </c>
      <c r="BB56" s="136"/>
    </row>
    <row r="57" spans="1:54" x14ac:dyDescent="0.2">
      <c r="A57" s="236">
        <v>1</v>
      </c>
      <c r="B57" s="166">
        <f>SUM($A$2:$A57)</f>
        <v>56</v>
      </c>
      <c r="C57" s="142" t="s">
        <v>706</v>
      </c>
      <c r="D57" s="142" t="s">
        <v>718</v>
      </c>
      <c r="E57" s="142" t="s">
        <v>715</v>
      </c>
      <c r="F57" s="142"/>
      <c r="G57" s="142"/>
      <c r="H57" s="142" t="s">
        <v>712</v>
      </c>
      <c r="I57" s="15" t="str">
        <f t="shared" si="55"/>
        <v>FSA.Winters.Retail.perSQFT</v>
      </c>
      <c r="J57" s="15"/>
      <c r="K57" s="97"/>
      <c r="L57" s="97"/>
      <c r="M57" s="20">
        <v>10000</v>
      </c>
      <c r="N57" s="20"/>
      <c r="O57" s="20"/>
      <c r="P57" s="20"/>
      <c r="Q57" s="20"/>
      <c r="R57" s="19"/>
      <c r="S57" s="19">
        <f t="shared" si="1"/>
        <v>10000</v>
      </c>
      <c r="T57" s="97"/>
      <c r="U57" s="19">
        <f t="shared" si="8"/>
        <v>0</v>
      </c>
      <c r="V57" s="19"/>
      <c r="W57" s="19">
        <v>0</v>
      </c>
      <c r="X57" s="19">
        <f t="shared" si="9"/>
        <v>10000</v>
      </c>
      <c r="Y57" s="176"/>
      <c r="Z57" s="24"/>
      <c r="AA57" s="145">
        <v>1</v>
      </c>
      <c r="AB57" s="36">
        <f t="shared" si="2"/>
        <v>0</v>
      </c>
      <c r="AC57" s="37" t="s">
        <v>515</v>
      </c>
      <c r="AD57" s="30"/>
      <c r="AE57" s="30"/>
      <c r="AF57" s="30"/>
      <c r="AG57" s="30"/>
      <c r="AH57" s="30"/>
      <c r="AI57" s="30"/>
      <c r="AJ57" s="30"/>
      <c r="AK57" s="30"/>
      <c r="AL57" s="31" t="str">
        <f t="shared" si="41"/>
        <v/>
      </c>
      <c r="AM57" s="31" t="str">
        <f t="shared" si="42"/>
        <v/>
      </c>
      <c r="AN57" s="24"/>
      <c r="AO57" s="42">
        <f t="shared" si="10"/>
        <v>0</v>
      </c>
      <c r="AP57" s="43">
        <f t="shared" si="5"/>
        <v>0</v>
      </c>
      <c r="AQ57" s="44" t="s">
        <v>55</v>
      </c>
      <c r="AR57" s="30"/>
      <c r="AS57" s="30"/>
      <c r="AT57" s="30"/>
      <c r="AU57" s="30"/>
      <c r="AV57" s="30"/>
      <c r="AW57" s="30"/>
      <c r="AX57" s="30"/>
      <c r="AY57" s="30"/>
      <c r="AZ57" s="31" t="str">
        <f t="shared" si="43"/>
        <v/>
      </c>
      <c r="BA57" s="31" t="str">
        <f t="shared" si="44"/>
        <v/>
      </c>
      <c r="BB57" s="136"/>
    </row>
    <row r="58" spans="1:54" x14ac:dyDescent="0.2">
      <c r="A58" s="236">
        <v>1</v>
      </c>
      <c r="B58" s="166">
        <f>SUM($A$2:$A58)</f>
        <v>57</v>
      </c>
      <c r="C58" s="142" t="s">
        <v>706</v>
      </c>
      <c r="D58" s="142" t="s">
        <v>718</v>
      </c>
      <c r="E58" s="142" t="s">
        <v>716</v>
      </c>
      <c r="F58" s="142"/>
      <c r="G58" s="142"/>
      <c r="H58" s="142" t="s">
        <v>712</v>
      </c>
      <c r="I58" s="157" t="str">
        <f t="shared" si="55"/>
        <v>FSA.Winters.Warehouse.perSQFT</v>
      </c>
      <c r="J58" s="157"/>
      <c r="K58" s="158"/>
      <c r="L58" s="158"/>
      <c r="M58" s="159">
        <v>20000</v>
      </c>
      <c r="N58" s="159"/>
      <c r="O58" s="159"/>
      <c r="P58" s="159"/>
      <c r="Q58" s="159"/>
      <c r="R58" s="160"/>
      <c r="S58" s="160">
        <f t="shared" si="1"/>
        <v>20000</v>
      </c>
      <c r="T58" s="158"/>
      <c r="U58" s="160">
        <f t="shared" si="8"/>
        <v>0</v>
      </c>
      <c r="V58" s="160"/>
      <c r="W58" s="160">
        <v>0</v>
      </c>
      <c r="X58" s="160">
        <f t="shared" si="9"/>
        <v>20000</v>
      </c>
      <c r="Y58" s="177"/>
      <c r="Z58" s="24"/>
      <c r="AA58" s="146">
        <v>1</v>
      </c>
      <c r="AB58" s="38">
        <f t="shared" si="2"/>
        <v>0</v>
      </c>
      <c r="AC58" s="39" t="s">
        <v>515</v>
      </c>
      <c r="AD58" s="32"/>
      <c r="AE58" s="32"/>
      <c r="AF58" s="32"/>
      <c r="AG58" s="32"/>
      <c r="AH58" s="32"/>
      <c r="AI58" s="32"/>
      <c r="AJ58" s="32"/>
      <c r="AK58" s="32"/>
      <c r="AL58" s="33" t="str">
        <f t="shared" si="41"/>
        <v/>
      </c>
      <c r="AM58" s="33" t="str">
        <f t="shared" si="42"/>
        <v/>
      </c>
      <c r="AN58" s="24"/>
      <c r="AO58" s="45">
        <f t="shared" si="10"/>
        <v>0</v>
      </c>
      <c r="AP58" s="46">
        <f t="shared" si="5"/>
        <v>0</v>
      </c>
      <c r="AQ58" s="47" t="s">
        <v>55</v>
      </c>
      <c r="AR58" s="32"/>
      <c r="AS58" s="32"/>
      <c r="AT58" s="32"/>
      <c r="AU58" s="32"/>
      <c r="AV58" s="32"/>
      <c r="AW58" s="32"/>
      <c r="AX58" s="32"/>
      <c r="AY58" s="32"/>
      <c r="AZ58" s="33" t="str">
        <f t="shared" si="43"/>
        <v/>
      </c>
      <c r="BA58" s="33" t="str">
        <f t="shared" si="44"/>
        <v/>
      </c>
      <c r="BB58" s="137"/>
    </row>
    <row r="59" spans="1:54" x14ac:dyDescent="0.2">
      <c r="A59" s="236">
        <v>1</v>
      </c>
      <c r="B59" s="166">
        <f>SUM($A$2:$A59)</f>
        <v>58</v>
      </c>
      <c r="C59" s="142" t="s">
        <v>706</v>
      </c>
      <c r="D59" s="142" t="s">
        <v>719</v>
      </c>
      <c r="E59" s="142" t="s">
        <v>708</v>
      </c>
      <c r="F59" s="142"/>
      <c r="G59" s="142"/>
      <c r="H59" s="142" t="s">
        <v>709</v>
      </c>
      <c r="I59" s="15" t="str">
        <f t="shared" si="55"/>
        <v>FSA.Woodland.CRC.perUnit</v>
      </c>
      <c r="J59" s="15"/>
      <c r="K59" s="97"/>
      <c r="L59" s="97"/>
      <c r="M59" s="20">
        <v>1</v>
      </c>
      <c r="N59" s="17"/>
      <c r="O59" s="17"/>
      <c r="P59" s="17"/>
      <c r="Q59" s="17"/>
      <c r="R59" s="19">
        <v>6514</v>
      </c>
      <c r="S59" s="19">
        <f t="shared" ref="S59:S65" si="66">PRODUCT(K59:R59)</f>
        <v>6514</v>
      </c>
      <c r="T59" s="97"/>
      <c r="U59" s="19">
        <f t="shared" ref="U59:U65" si="67">X59*T59</f>
        <v>0</v>
      </c>
      <c r="V59" s="19"/>
      <c r="W59" s="19">
        <v>0</v>
      </c>
      <c r="X59" s="19">
        <f t="shared" ref="X59:X65" si="68">S59-W59</f>
        <v>6514</v>
      </c>
      <c r="Y59" s="176"/>
      <c r="Z59" s="24"/>
      <c r="AA59" s="145">
        <v>1</v>
      </c>
      <c r="AB59" s="36">
        <f t="shared" ref="AB59:AB65" si="69">AA59*U59</f>
        <v>0</v>
      </c>
      <c r="AC59" s="37" t="s">
        <v>515</v>
      </c>
      <c r="AD59" s="30"/>
      <c r="AE59" s="30"/>
      <c r="AF59" s="30"/>
      <c r="AG59" s="30"/>
      <c r="AH59" s="30"/>
      <c r="AI59" s="30"/>
      <c r="AJ59" s="30"/>
      <c r="AK59" s="30"/>
      <c r="AL59" s="31" t="str">
        <f t="shared" ref="AL59:AL65" si="70">CONCATENATE(AD59,AE59,AF59,AG59)</f>
        <v/>
      </c>
      <c r="AM59" s="31" t="str">
        <f t="shared" ref="AM59:AM65" si="71">CONCATENATE(AD59,AE59,AF59,AG59)</f>
        <v/>
      </c>
      <c r="AN59" s="24"/>
      <c r="AO59" s="42">
        <f t="shared" ref="AO59:AO65" si="72">1-AA59</f>
        <v>0</v>
      </c>
      <c r="AP59" s="43">
        <f t="shared" ref="AP59:AP65" si="73">AO59*U59</f>
        <v>0</v>
      </c>
      <c r="AQ59" s="44" t="s">
        <v>55</v>
      </c>
      <c r="AR59" s="30"/>
      <c r="AS59" s="30"/>
      <c r="AT59" s="30"/>
      <c r="AU59" s="30"/>
      <c r="AV59" s="30"/>
      <c r="AW59" s="30"/>
      <c r="AX59" s="30"/>
      <c r="AY59" s="30"/>
      <c r="AZ59" s="31" t="str">
        <f t="shared" ref="AZ59:AZ65" si="74">CONCATENATE(AR59,AS59,AT59,AU59)</f>
        <v/>
      </c>
      <c r="BA59" s="31" t="str">
        <f t="shared" ref="BA59:BA65" si="75">CONCATENATE(AR59,AS59,AT59,AU59)</f>
        <v/>
      </c>
      <c r="BB59" s="136"/>
    </row>
    <row r="60" spans="1:54" x14ac:dyDescent="0.2">
      <c r="A60" s="236">
        <v>1</v>
      </c>
      <c r="B60" s="166">
        <f>SUM($A$2:$A60)</f>
        <v>59</v>
      </c>
      <c r="C60" s="142" t="s">
        <v>706</v>
      </c>
      <c r="D60" s="142" t="s">
        <v>719</v>
      </c>
      <c r="E60" s="142" t="s">
        <v>710</v>
      </c>
      <c r="F60" s="142"/>
      <c r="G60" s="142"/>
      <c r="H60" s="142" t="s">
        <v>616</v>
      </c>
      <c r="I60" s="15" t="str">
        <f t="shared" si="55"/>
        <v>FSA.Woodland.ADU1.Flat</v>
      </c>
      <c r="J60" s="15"/>
      <c r="K60" s="97"/>
      <c r="L60" s="97"/>
      <c r="M60" s="20">
        <v>1</v>
      </c>
      <c r="N60" s="17"/>
      <c r="O60" s="17"/>
      <c r="P60" s="17"/>
      <c r="Q60" s="17"/>
      <c r="R60" s="19">
        <v>0</v>
      </c>
      <c r="S60" s="19">
        <f t="shared" si="66"/>
        <v>0</v>
      </c>
      <c r="T60" s="97"/>
      <c r="U60" s="19">
        <f t="shared" si="67"/>
        <v>0</v>
      </c>
      <c r="V60" s="19"/>
      <c r="W60" s="19">
        <v>0</v>
      </c>
      <c r="X60" s="19">
        <f t="shared" si="68"/>
        <v>0</v>
      </c>
      <c r="Y60" s="176"/>
      <c r="Z60" s="24"/>
      <c r="AA60" s="145">
        <v>1</v>
      </c>
      <c r="AB60" s="36">
        <f t="shared" si="69"/>
        <v>0</v>
      </c>
      <c r="AC60" s="37" t="s">
        <v>515</v>
      </c>
      <c r="AD60" s="30"/>
      <c r="AE60" s="30"/>
      <c r="AF60" s="30"/>
      <c r="AG60" s="30"/>
      <c r="AH60" s="30"/>
      <c r="AI60" s="30"/>
      <c r="AJ60" s="30"/>
      <c r="AK60" s="30"/>
      <c r="AL60" s="31" t="str">
        <f t="shared" si="70"/>
        <v/>
      </c>
      <c r="AM60" s="31" t="str">
        <f t="shared" si="71"/>
        <v/>
      </c>
      <c r="AN60" s="24"/>
      <c r="AO60" s="42">
        <f t="shared" si="72"/>
        <v>0</v>
      </c>
      <c r="AP60" s="43">
        <f t="shared" si="73"/>
        <v>0</v>
      </c>
      <c r="AQ60" s="44" t="s">
        <v>55</v>
      </c>
      <c r="AR60" s="30"/>
      <c r="AS60" s="30"/>
      <c r="AT60" s="30"/>
      <c r="AU60" s="30"/>
      <c r="AV60" s="30"/>
      <c r="AW60" s="30"/>
      <c r="AX60" s="30"/>
      <c r="AY60" s="30"/>
      <c r="AZ60" s="31" t="str">
        <f t="shared" si="74"/>
        <v/>
      </c>
      <c r="BA60" s="31" t="str">
        <f t="shared" si="75"/>
        <v/>
      </c>
      <c r="BB60" s="136"/>
    </row>
    <row r="61" spans="1:54" x14ac:dyDescent="0.2">
      <c r="A61" s="236">
        <v>1</v>
      </c>
      <c r="B61" s="166">
        <f>SUM($A$2:$A61)</f>
        <v>60</v>
      </c>
      <c r="C61" s="142" t="s">
        <v>706</v>
      </c>
      <c r="D61" s="142" t="s">
        <v>719</v>
      </c>
      <c r="E61" s="142" t="s">
        <v>711</v>
      </c>
      <c r="F61" s="142"/>
      <c r="G61" s="142"/>
      <c r="H61" s="142" t="s">
        <v>712</v>
      </c>
      <c r="I61" s="15" t="str">
        <f t="shared" si="55"/>
        <v>FSA.Woodland.ADU2.perSQFT</v>
      </c>
      <c r="J61" s="15"/>
      <c r="K61" s="97"/>
      <c r="L61" s="97"/>
      <c r="M61" s="20">
        <v>0.4</v>
      </c>
      <c r="N61" s="17"/>
      <c r="O61" s="17"/>
      <c r="P61" s="17"/>
      <c r="Q61" s="17"/>
      <c r="R61" s="19">
        <f>R59*M61</f>
        <v>2605.6000000000004</v>
      </c>
      <c r="S61" s="19">
        <f t="shared" si="66"/>
        <v>1042.2400000000002</v>
      </c>
      <c r="T61" s="97"/>
      <c r="U61" s="19">
        <f t="shared" si="67"/>
        <v>0</v>
      </c>
      <c r="V61" s="19"/>
      <c r="W61" s="19">
        <v>0</v>
      </c>
      <c r="X61" s="19">
        <f t="shared" si="68"/>
        <v>1042.2400000000002</v>
      </c>
      <c r="Y61" s="176"/>
      <c r="Z61" s="24"/>
      <c r="AA61" s="145">
        <v>1</v>
      </c>
      <c r="AB61" s="36">
        <f t="shared" si="69"/>
        <v>0</v>
      </c>
      <c r="AC61" s="37" t="s">
        <v>515</v>
      </c>
      <c r="AD61" s="30"/>
      <c r="AE61" s="30"/>
      <c r="AF61" s="30"/>
      <c r="AG61" s="30"/>
      <c r="AH61" s="30"/>
      <c r="AI61" s="30"/>
      <c r="AJ61" s="30"/>
      <c r="AK61" s="30"/>
      <c r="AL61" s="31" t="str">
        <f t="shared" si="70"/>
        <v/>
      </c>
      <c r="AM61" s="31" t="str">
        <f t="shared" si="71"/>
        <v/>
      </c>
      <c r="AN61" s="24"/>
      <c r="AO61" s="42">
        <f t="shared" si="72"/>
        <v>0</v>
      </c>
      <c r="AP61" s="43">
        <f t="shared" si="73"/>
        <v>0</v>
      </c>
      <c r="AQ61" s="44" t="s">
        <v>55</v>
      </c>
      <c r="AR61" s="30"/>
      <c r="AS61" s="30"/>
      <c r="AT61" s="30"/>
      <c r="AU61" s="30"/>
      <c r="AV61" s="30"/>
      <c r="AW61" s="30"/>
      <c r="AX61" s="30"/>
      <c r="AY61" s="30"/>
      <c r="AZ61" s="31" t="str">
        <f t="shared" si="74"/>
        <v/>
      </c>
      <c r="BA61" s="31" t="str">
        <f t="shared" si="75"/>
        <v/>
      </c>
      <c r="BB61" s="136"/>
    </row>
    <row r="62" spans="1:54" x14ac:dyDescent="0.2">
      <c r="A62" s="236">
        <v>1</v>
      </c>
      <c r="B62" s="166">
        <f>SUM($A$2:$A62)</f>
        <v>61</v>
      </c>
      <c r="C62" s="142" t="s">
        <v>706</v>
      </c>
      <c r="D62" s="142" t="s">
        <v>719</v>
      </c>
      <c r="E62" s="142" t="s">
        <v>713</v>
      </c>
      <c r="F62" s="142"/>
      <c r="G62" s="142"/>
      <c r="H62" s="142" t="s">
        <v>712</v>
      </c>
      <c r="I62" s="15" t="str">
        <f t="shared" si="55"/>
        <v>FSA.Woodland.Factory.perSQFT</v>
      </c>
      <c r="J62" s="15"/>
      <c r="K62" s="97"/>
      <c r="L62" s="97"/>
      <c r="M62" s="20">
        <v>10000</v>
      </c>
      <c r="N62" s="17"/>
      <c r="O62" s="17"/>
      <c r="P62" s="17"/>
      <c r="Q62" s="17"/>
      <c r="R62" s="19"/>
      <c r="S62" s="19">
        <f t="shared" si="66"/>
        <v>10000</v>
      </c>
      <c r="T62" s="97"/>
      <c r="U62" s="19">
        <f t="shared" si="67"/>
        <v>0</v>
      </c>
      <c r="V62" s="19"/>
      <c r="W62" s="19">
        <v>0</v>
      </c>
      <c r="X62" s="19">
        <f t="shared" si="68"/>
        <v>10000</v>
      </c>
      <c r="Y62" s="176"/>
      <c r="Z62" s="24"/>
      <c r="AA62" s="145">
        <v>1</v>
      </c>
      <c r="AB62" s="36">
        <f t="shared" si="69"/>
        <v>0</v>
      </c>
      <c r="AC62" s="37" t="s">
        <v>515</v>
      </c>
      <c r="AD62" s="30"/>
      <c r="AE62" s="30"/>
      <c r="AF62" s="30"/>
      <c r="AG62" s="30"/>
      <c r="AH62" s="30"/>
      <c r="AI62" s="30"/>
      <c r="AJ62" s="30"/>
      <c r="AK62" s="30"/>
      <c r="AL62" s="31" t="str">
        <f t="shared" si="70"/>
        <v/>
      </c>
      <c r="AM62" s="31" t="str">
        <f t="shared" si="71"/>
        <v/>
      </c>
      <c r="AN62" s="24"/>
      <c r="AO62" s="42">
        <f t="shared" si="72"/>
        <v>0</v>
      </c>
      <c r="AP62" s="43">
        <f t="shared" si="73"/>
        <v>0</v>
      </c>
      <c r="AQ62" s="44" t="s">
        <v>55</v>
      </c>
      <c r="AR62" s="30"/>
      <c r="AS62" s="30"/>
      <c r="AT62" s="30"/>
      <c r="AU62" s="30"/>
      <c r="AV62" s="30"/>
      <c r="AW62" s="30"/>
      <c r="AX62" s="30"/>
      <c r="AY62" s="30"/>
      <c r="AZ62" s="31" t="str">
        <f t="shared" si="74"/>
        <v/>
      </c>
      <c r="BA62" s="31" t="str">
        <f t="shared" si="75"/>
        <v/>
      </c>
      <c r="BB62" s="136"/>
    </row>
    <row r="63" spans="1:54" x14ac:dyDescent="0.2">
      <c r="A63" s="236">
        <v>1</v>
      </c>
      <c r="B63" s="166">
        <f>SUM($A$2:$A63)</f>
        <v>62</v>
      </c>
      <c r="C63" s="142" t="s">
        <v>706</v>
      </c>
      <c r="D63" s="142" t="s">
        <v>719</v>
      </c>
      <c r="E63" s="142" t="s">
        <v>714</v>
      </c>
      <c r="F63" s="142"/>
      <c r="G63" s="142"/>
      <c r="H63" s="142" t="s">
        <v>712</v>
      </c>
      <c r="I63" s="15" t="str">
        <f t="shared" si="55"/>
        <v>FSA.Woodland.Office.perSQFT</v>
      </c>
      <c r="J63" s="15"/>
      <c r="K63" s="97"/>
      <c r="L63" s="97"/>
      <c r="M63" s="20">
        <v>5000</v>
      </c>
      <c r="N63" s="17"/>
      <c r="O63" s="17"/>
      <c r="P63" s="17"/>
      <c r="Q63" s="17"/>
      <c r="R63" s="19"/>
      <c r="S63" s="19">
        <f t="shared" si="66"/>
        <v>5000</v>
      </c>
      <c r="T63" s="97"/>
      <c r="U63" s="19">
        <f t="shared" si="67"/>
        <v>0</v>
      </c>
      <c r="V63" s="19"/>
      <c r="W63" s="19">
        <v>0</v>
      </c>
      <c r="X63" s="19">
        <f t="shared" si="68"/>
        <v>5000</v>
      </c>
      <c r="Y63" s="176"/>
      <c r="Z63" s="24"/>
      <c r="AA63" s="145">
        <v>1</v>
      </c>
      <c r="AB63" s="36">
        <f t="shared" si="69"/>
        <v>0</v>
      </c>
      <c r="AC63" s="37" t="s">
        <v>515</v>
      </c>
      <c r="AD63" s="30"/>
      <c r="AE63" s="30"/>
      <c r="AF63" s="30"/>
      <c r="AG63" s="30"/>
      <c r="AH63" s="30"/>
      <c r="AI63" s="30"/>
      <c r="AJ63" s="30"/>
      <c r="AK63" s="30"/>
      <c r="AL63" s="31" t="str">
        <f t="shared" si="70"/>
        <v/>
      </c>
      <c r="AM63" s="31" t="str">
        <f t="shared" si="71"/>
        <v/>
      </c>
      <c r="AN63" s="24"/>
      <c r="AO63" s="42">
        <f t="shared" si="72"/>
        <v>0</v>
      </c>
      <c r="AP63" s="43">
        <f t="shared" si="73"/>
        <v>0</v>
      </c>
      <c r="AQ63" s="44" t="s">
        <v>55</v>
      </c>
      <c r="AR63" s="30"/>
      <c r="AS63" s="30"/>
      <c r="AT63" s="30"/>
      <c r="AU63" s="30"/>
      <c r="AV63" s="30"/>
      <c r="AW63" s="30"/>
      <c r="AX63" s="30"/>
      <c r="AY63" s="30"/>
      <c r="AZ63" s="31" t="str">
        <f t="shared" si="74"/>
        <v/>
      </c>
      <c r="BA63" s="31" t="str">
        <f t="shared" si="75"/>
        <v/>
      </c>
      <c r="BB63" s="136"/>
    </row>
    <row r="64" spans="1:54" x14ac:dyDescent="0.2">
      <c r="A64" s="236">
        <v>1</v>
      </c>
      <c r="B64" s="166">
        <f>SUM($A$2:$A64)</f>
        <v>63</v>
      </c>
      <c r="C64" s="142" t="s">
        <v>706</v>
      </c>
      <c r="D64" s="142" t="s">
        <v>719</v>
      </c>
      <c r="E64" s="142" t="s">
        <v>715</v>
      </c>
      <c r="F64" s="142"/>
      <c r="G64" s="142"/>
      <c r="H64" s="142" t="s">
        <v>712</v>
      </c>
      <c r="I64" s="15" t="str">
        <f t="shared" si="55"/>
        <v>FSA.Woodland.Retail.perSQFT</v>
      </c>
      <c r="J64" s="15"/>
      <c r="K64" s="97"/>
      <c r="L64" s="97"/>
      <c r="M64" s="20">
        <v>10000</v>
      </c>
      <c r="N64" s="20"/>
      <c r="O64" s="20"/>
      <c r="P64" s="20"/>
      <c r="Q64" s="20"/>
      <c r="R64" s="19"/>
      <c r="S64" s="19">
        <f t="shared" si="66"/>
        <v>10000</v>
      </c>
      <c r="T64" s="97"/>
      <c r="U64" s="19">
        <f t="shared" si="67"/>
        <v>0</v>
      </c>
      <c r="V64" s="19"/>
      <c r="W64" s="19">
        <v>0</v>
      </c>
      <c r="X64" s="19">
        <f t="shared" si="68"/>
        <v>10000</v>
      </c>
      <c r="Y64" s="176"/>
      <c r="Z64" s="24"/>
      <c r="AA64" s="145">
        <v>1</v>
      </c>
      <c r="AB64" s="36">
        <f t="shared" si="69"/>
        <v>0</v>
      </c>
      <c r="AC64" s="37" t="s">
        <v>515</v>
      </c>
      <c r="AD64" s="30"/>
      <c r="AE64" s="30"/>
      <c r="AF64" s="30"/>
      <c r="AG64" s="30"/>
      <c r="AH64" s="30"/>
      <c r="AI64" s="30"/>
      <c r="AJ64" s="30"/>
      <c r="AK64" s="30"/>
      <c r="AL64" s="31" t="str">
        <f t="shared" si="70"/>
        <v/>
      </c>
      <c r="AM64" s="31" t="str">
        <f t="shared" si="71"/>
        <v/>
      </c>
      <c r="AN64" s="24"/>
      <c r="AO64" s="42">
        <f t="shared" si="72"/>
        <v>0</v>
      </c>
      <c r="AP64" s="43">
        <f t="shared" si="73"/>
        <v>0</v>
      </c>
      <c r="AQ64" s="44" t="s">
        <v>55</v>
      </c>
      <c r="AR64" s="30"/>
      <c r="AS64" s="30"/>
      <c r="AT64" s="30"/>
      <c r="AU64" s="30"/>
      <c r="AV64" s="30"/>
      <c r="AW64" s="30"/>
      <c r="AX64" s="30"/>
      <c r="AY64" s="30"/>
      <c r="AZ64" s="31" t="str">
        <f t="shared" si="74"/>
        <v/>
      </c>
      <c r="BA64" s="31" t="str">
        <f t="shared" si="75"/>
        <v/>
      </c>
      <c r="BB64" s="136"/>
    </row>
    <row r="65" spans="1:54" x14ac:dyDescent="0.2">
      <c r="A65" s="236">
        <v>1</v>
      </c>
      <c r="B65" s="166">
        <f>SUM($A$2:$A65)</f>
        <v>64</v>
      </c>
      <c r="C65" s="142" t="s">
        <v>706</v>
      </c>
      <c r="D65" s="142" t="s">
        <v>719</v>
      </c>
      <c r="E65" s="142" t="s">
        <v>716</v>
      </c>
      <c r="F65" s="142"/>
      <c r="G65" s="142"/>
      <c r="H65" s="142" t="s">
        <v>712</v>
      </c>
      <c r="I65" s="157" t="str">
        <f t="shared" si="55"/>
        <v>FSA.Woodland.Warehouse.perSQFT</v>
      </c>
      <c r="J65" s="157"/>
      <c r="K65" s="158"/>
      <c r="L65" s="158"/>
      <c r="M65" s="159">
        <v>20000</v>
      </c>
      <c r="N65" s="159"/>
      <c r="O65" s="159"/>
      <c r="P65" s="159"/>
      <c r="Q65" s="159"/>
      <c r="R65" s="160"/>
      <c r="S65" s="160">
        <f t="shared" si="66"/>
        <v>20000</v>
      </c>
      <c r="T65" s="158"/>
      <c r="U65" s="160">
        <f t="shared" si="67"/>
        <v>0</v>
      </c>
      <c r="V65" s="160"/>
      <c r="W65" s="160">
        <v>0</v>
      </c>
      <c r="X65" s="160">
        <f t="shared" si="68"/>
        <v>20000</v>
      </c>
      <c r="Y65" s="177"/>
      <c r="Z65" s="24"/>
      <c r="AA65" s="146">
        <v>1</v>
      </c>
      <c r="AB65" s="38">
        <f t="shared" si="69"/>
        <v>0</v>
      </c>
      <c r="AC65" s="39" t="s">
        <v>515</v>
      </c>
      <c r="AD65" s="32"/>
      <c r="AE65" s="32"/>
      <c r="AF65" s="32"/>
      <c r="AG65" s="32"/>
      <c r="AH65" s="32"/>
      <c r="AI65" s="32"/>
      <c r="AJ65" s="32"/>
      <c r="AK65" s="32"/>
      <c r="AL65" s="33" t="str">
        <f t="shared" si="70"/>
        <v/>
      </c>
      <c r="AM65" s="33" t="str">
        <f t="shared" si="71"/>
        <v/>
      </c>
      <c r="AN65" s="24"/>
      <c r="AO65" s="45">
        <f t="shared" si="72"/>
        <v>0</v>
      </c>
      <c r="AP65" s="46">
        <f t="shared" si="73"/>
        <v>0</v>
      </c>
      <c r="AQ65" s="47" t="s">
        <v>55</v>
      </c>
      <c r="AR65" s="32"/>
      <c r="AS65" s="32"/>
      <c r="AT65" s="32"/>
      <c r="AU65" s="32"/>
      <c r="AV65" s="32"/>
      <c r="AW65" s="32"/>
      <c r="AX65" s="32"/>
      <c r="AY65" s="32"/>
      <c r="AZ65" s="33" t="str">
        <f t="shared" si="74"/>
        <v/>
      </c>
      <c r="BA65" s="33" t="str">
        <f t="shared" si="75"/>
        <v/>
      </c>
      <c r="BB65" s="137"/>
    </row>
    <row r="66" spans="1:54" x14ac:dyDescent="0.2">
      <c r="A66" s="236">
        <v>1</v>
      </c>
      <c r="B66" s="166">
        <f>SUM($A$2:$A66)</f>
        <v>65</v>
      </c>
      <c r="C66" s="142" t="s">
        <v>706</v>
      </c>
      <c r="D66" s="142" t="s">
        <v>720</v>
      </c>
      <c r="E66" s="142" t="s">
        <v>708</v>
      </c>
      <c r="F66" s="142"/>
      <c r="G66" s="142"/>
      <c r="H66" s="142" t="s">
        <v>709</v>
      </c>
      <c r="I66" s="15" t="str">
        <f t="shared" ref="I66:I72" si="76">_xlfn.CONCAT(C66:H66)</f>
        <v>FSA.Yolo.CRC.perUnit</v>
      </c>
      <c r="J66" s="15"/>
      <c r="K66" s="97"/>
      <c r="L66" s="97"/>
      <c r="M66" s="20">
        <v>1</v>
      </c>
      <c r="N66" s="17"/>
      <c r="O66" s="17"/>
      <c r="P66" s="17"/>
      <c r="Q66" s="17"/>
      <c r="R66" s="19">
        <v>6514</v>
      </c>
      <c r="S66" s="19">
        <f t="shared" si="1"/>
        <v>6514</v>
      </c>
      <c r="T66" s="97"/>
      <c r="U66" s="19">
        <f t="shared" si="8"/>
        <v>0</v>
      </c>
      <c r="V66" s="19"/>
      <c r="W66" s="19">
        <v>0</v>
      </c>
      <c r="X66" s="19">
        <f t="shared" si="9"/>
        <v>6514</v>
      </c>
      <c r="Y66" s="176"/>
      <c r="Z66" s="24"/>
      <c r="AA66" s="145">
        <v>1</v>
      </c>
      <c r="AB66" s="36">
        <f t="shared" si="2"/>
        <v>0</v>
      </c>
      <c r="AC66" s="37" t="s">
        <v>515</v>
      </c>
      <c r="AD66" s="30"/>
      <c r="AE66" s="30"/>
      <c r="AF66" s="30"/>
      <c r="AG66" s="30"/>
      <c r="AH66" s="30"/>
      <c r="AI66" s="30"/>
      <c r="AJ66" s="30"/>
      <c r="AK66" s="30"/>
      <c r="AL66" s="31" t="str">
        <f t="shared" si="41"/>
        <v/>
      </c>
      <c r="AM66" s="31" t="str">
        <f t="shared" si="42"/>
        <v/>
      </c>
      <c r="AN66" s="24"/>
      <c r="AO66" s="42">
        <f t="shared" si="10"/>
        <v>0</v>
      </c>
      <c r="AP66" s="43">
        <f t="shared" si="5"/>
        <v>0</v>
      </c>
      <c r="AQ66" s="44" t="s">
        <v>55</v>
      </c>
      <c r="AR66" s="30"/>
      <c r="AS66" s="30"/>
      <c r="AT66" s="30"/>
      <c r="AU66" s="30"/>
      <c r="AV66" s="30"/>
      <c r="AW66" s="30"/>
      <c r="AX66" s="30"/>
      <c r="AY66" s="30"/>
      <c r="AZ66" s="31" t="str">
        <f t="shared" si="43"/>
        <v/>
      </c>
      <c r="BA66" s="31" t="str">
        <f t="shared" si="44"/>
        <v/>
      </c>
      <c r="BB66" s="136"/>
    </row>
    <row r="67" spans="1:54" x14ac:dyDescent="0.2">
      <c r="A67" s="236">
        <v>1</v>
      </c>
      <c r="B67" s="166">
        <f>SUM($A$2:$A67)</f>
        <v>66</v>
      </c>
      <c r="C67" s="142" t="s">
        <v>706</v>
      </c>
      <c r="D67" s="142" t="s">
        <v>720</v>
      </c>
      <c r="E67" s="142" t="s">
        <v>710</v>
      </c>
      <c r="F67" s="142"/>
      <c r="G67" s="142"/>
      <c r="H67" s="142" t="s">
        <v>616</v>
      </c>
      <c r="I67" s="15" t="str">
        <f t="shared" si="76"/>
        <v>FSA.Yolo.ADU1.Flat</v>
      </c>
      <c r="J67" s="15"/>
      <c r="K67" s="97"/>
      <c r="L67" s="97"/>
      <c r="M67" s="20">
        <v>1</v>
      </c>
      <c r="N67" s="17"/>
      <c r="O67" s="17"/>
      <c r="P67" s="17"/>
      <c r="Q67" s="17"/>
      <c r="R67" s="19">
        <v>0</v>
      </c>
      <c r="S67" s="19">
        <f t="shared" ref="S67" si="77">PRODUCT(K67:R67)</f>
        <v>0</v>
      </c>
      <c r="T67" s="97"/>
      <c r="U67" s="19">
        <f t="shared" ref="U67" si="78">X67*T67</f>
        <v>0</v>
      </c>
      <c r="V67" s="19"/>
      <c r="W67" s="19">
        <v>0</v>
      </c>
      <c r="X67" s="19">
        <f t="shared" ref="X67" si="79">S67-W67</f>
        <v>0</v>
      </c>
      <c r="Y67" s="176"/>
      <c r="Z67" s="24"/>
      <c r="AA67" s="145">
        <v>1</v>
      </c>
      <c r="AB67" s="36">
        <f t="shared" ref="AB67" si="80">AA67*U67</f>
        <v>0</v>
      </c>
      <c r="AC67" s="37" t="s">
        <v>515</v>
      </c>
      <c r="AD67" s="30"/>
      <c r="AE67" s="30"/>
      <c r="AF67" s="30"/>
      <c r="AG67" s="30"/>
      <c r="AH67" s="30"/>
      <c r="AI67" s="30"/>
      <c r="AJ67" s="30"/>
      <c r="AK67" s="30"/>
      <c r="AL67" s="31" t="str">
        <f t="shared" ref="AL67" si="81">CONCATENATE(AD67,AE67,AF67,AG67)</f>
        <v/>
      </c>
      <c r="AM67" s="31" t="str">
        <f t="shared" ref="AM67" si="82">CONCATENATE(AD67,AE67,AF67,AG67)</f>
        <v/>
      </c>
      <c r="AN67" s="24"/>
      <c r="AO67" s="42">
        <f t="shared" ref="AO67" si="83">1-AA67</f>
        <v>0</v>
      </c>
      <c r="AP67" s="43">
        <f t="shared" ref="AP67" si="84">AO67*U67</f>
        <v>0</v>
      </c>
      <c r="AQ67" s="44" t="s">
        <v>55</v>
      </c>
      <c r="AR67" s="30"/>
      <c r="AS67" s="30"/>
      <c r="AT67" s="30"/>
      <c r="AU67" s="30"/>
      <c r="AV67" s="30"/>
      <c r="AW67" s="30"/>
      <c r="AX67" s="30"/>
      <c r="AY67" s="30"/>
      <c r="AZ67" s="31" t="str">
        <f t="shared" ref="AZ67" si="85">CONCATENATE(AR67,AS67,AT67,AU67)</f>
        <v/>
      </c>
      <c r="BA67" s="31" t="str">
        <f t="shared" ref="BA67" si="86">CONCATENATE(AR67,AS67,AT67,AU67)</f>
        <v/>
      </c>
      <c r="BB67" s="136"/>
    </row>
    <row r="68" spans="1:54" x14ac:dyDescent="0.2">
      <c r="A68" s="236">
        <v>1</v>
      </c>
      <c r="B68" s="166">
        <f>SUM($A$2:$A68)</f>
        <v>67</v>
      </c>
      <c r="C68" s="142" t="s">
        <v>706</v>
      </c>
      <c r="D68" s="142" t="s">
        <v>720</v>
      </c>
      <c r="E68" s="142" t="s">
        <v>711</v>
      </c>
      <c r="F68" s="142"/>
      <c r="G68" s="142"/>
      <c r="H68" s="142" t="s">
        <v>712</v>
      </c>
      <c r="I68" s="15" t="str">
        <f t="shared" si="76"/>
        <v>FSA.Yolo.ADU2.perSQFT</v>
      </c>
      <c r="J68" s="15"/>
      <c r="K68" s="97"/>
      <c r="L68" s="97"/>
      <c r="M68" s="20">
        <v>0.4</v>
      </c>
      <c r="N68" s="17"/>
      <c r="O68" s="17"/>
      <c r="P68" s="17"/>
      <c r="Q68" s="17"/>
      <c r="R68" s="19">
        <f>R66*M68</f>
        <v>2605.6000000000004</v>
      </c>
      <c r="S68" s="19">
        <f t="shared" si="1"/>
        <v>1042.2400000000002</v>
      </c>
      <c r="T68" s="97"/>
      <c r="U68" s="19">
        <f t="shared" si="8"/>
        <v>0</v>
      </c>
      <c r="V68" s="19"/>
      <c r="W68" s="19">
        <v>0</v>
      </c>
      <c r="X68" s="19">
        <f t="shared" si="9"/>
        <v>1042.2400000000002</v>
      </c>
      <c r="Y68" s="176"/>
      <c r="Z68" s="24"/>
      <c r="AA68" s="145">
        <v>1</v>
      </c>
      <c r="AB68" s="36">
        <f t="shared" si="2"/>
        <v>0</v>
      </c>
      <c r="AC68" s="37" t="s">
        <v>515</v>
      </c>
      <c r="AD68" s="30"/>
      <c r="AE68" s="30"/>
      <c r="AF68" s="30"/>
      <c r="AG68" s="30"/>
      <c r="AH68" s="30"/>
      <c r="AI68" s="30"/>
      <c r="AJ68" s="30"/>
      <c r="AK68" s="30"/>
      <c r="AL68" s="31" t="str">
        <f t="shared" si="41"/>
        <v/>
      </c>
      <c r="AM68" s="31" t="str">
        <f t="shared" si="42"/>
        <v/>
      </c>
      <c r="AN68" s="24"/>
      <c r="AO68" s="42">
        <f t="shared" si="10"/>
        <v>0</v>
      </c>
      <c r="AP68" s="43">
        <f t="shared" si="5"/>
        <v>0</v>
      </c>
      <c r="AQ68" s="44" t="s">
        <v>55</v>
      </c>
      <c r="AR68" s="30"/>
      <c r="AS68" s="30"/>
      <c r="AT68" s="30"/>
      <c r="AU68" s="30"/>
      <c r="AV68" s="30"/>
      <c r="AW68" s="30"/>
      <c r="AX68" s="30"/>
      <c r="AY68" s="30"/>
      <c r="AZ68" s="31" t="str">
        <f t="shared" si="43"/>
        <v/>
      </c>
      <c r="BA68" s="31" t="str">
        <f t="shared" si="44"/>
        <v/>
      </c>
      <c r="BB68" s="136"/>
    </row>
    <row r="69" spans="1:54" x14ac:dyDescent="0.2">
      <c r="A69" s="236">
        <v>1</v>
      </c>
      <c r="B69" s="166">
        <f>SUM($A$2:$A69)</f>
        <v>68</v>
      </c>
      <c r="C69" s="142" t="s">
        <v>706</v>
      </c>
      <c r="D69" s="142" t="s">
        <v>720</v>
      </c>
      <c r="E69" s="142" t="s">
        <v>713</v>
      </c>
      <c r="F69" s="142"/>
      <c r="G69" s="142"/>
      <c r="H69" s="142" t="s">
        <v>712</v>
      </c>
      <c r="I69" s="15" t="str">
        <f t="shared" si="76"/>
        <v>FSA.Yolo.Factory.perSQFT</v>
      </c>
      <c r="J69" s="15"/>
      <c r="K69" s="97"/>
      <c r="L69" s="97"/>
      <c r="M69" s="20">
        <v>10000</v>
      </c>
      <c r="N69" s="17"/>
      <c r="O69" s="17"/>
      <c r="P69" s="17"/>
      <c r="Q69" s="17"/>
      <c r="R69" s="19"/>
      <c r="S69" s="19">
        <f t="shared" si="1"/>
        <v>10000</v>
      </c>
      <c r="T69" s="97"/>
      <c r="U69" s="19">
        <f t="shared" si="8"/>
        <v>0</v>
      </c>
      <c r="V69" s="19"/>
      <c r="W69" s="19">
        <v>0</v>
      </c>
      <c r="X69" s="19">
        <f t="shared" si="9"/>
        <v>10000</v>
      </c>
      <c r="Y69" s="176"/>
      <c r="Z69" s="24"/>
      <c r="AA69" s="145">
        <v>1</v>
      </c>
      <c r="AB69" s="36">
        <f t="shared" si="2"/>
        <v>0</v>
      </c>
      <c r="AC69" s="37" t="s">
        <v>515</v>
      </c>
      <c r="AD69" s="30"/>
      <c r="AE69" s="30"/>
      <c r="AF69" s="30"/>
      <c r="AG69" s="30"/>
      <c r="AH69" s="30"/>
      <c r="AI69" s="30"/>
      <c r="AJ69" s="30"/>
      <c r="AK69" s="30"/>
      <c r="AL69" s="31" t="str">
        <f t="shared" si="41"/>
        <v/>
      </c>
      <c r="AM69" s="31" t="str">
        <f t="shared" si="42"/>
        <v/>
      </c>
      <c r="AN69" s="24"/>
      <c r="AO69" s="42">
        <f t="shared" si="10"/>
        <v>0</v>
      </c>
      <c r="AP69" s="43">
        <f t="shared" si="5"/>
        <v>0</v>
      </c>
      <c r="AQ69" s="44" t="s">
        <v>55</v>
      </c>
      <c r="AR69" s="30"/>
      <c r="AS69" s="30"/>
      <c r="AT69" s="30"/>
      <c r="AU69" s="30"/>
      <c r="AV69" s="30"/>
      <c r="AW69" s="30"/>
      <c r="AX69" s="30"/>
      <c r="AY69" s="30"/>
      <c r="AZ69" s="31" t="str">
        <f t="shared" si="43"/>
        <v/>
      </c>
      <c r="BA69" s="31" t="str">
        <f t="shared" si="44"/>
        <v/>
      </c>
      <c r="BB69" s="136"/>
    </row>
    <row r="70" spans="1:54" x14ac:dyDescent="0.2">
      <c r="A70" s="236">
        <v>1</v>
      </c>
      <c r="B70" s="166">
        <f>SUM($A$2:$A70)</f>
        <v>69</v>
      </c>
      <c r="C70" s="142" t="s">
        <v>706</v>
      </c>
      <c r="D70" s="142" t="s">
        <v>720</v>
      </c>
      <c r="E70" s="142" t="s">
        <v>714</v>
      </c>
      <c r="F70" s="142"/>
      <c r="G70" s="142"/>
      <c r="H70" s="142" t="s">
        <v>712</v>
      </c>
      <c r="I70" s="15" t="str">
        <f t="shared" si="76"/>
        <v>FSA.Yolo.Office.perSQFT</v>
      </c>
      <c r="J70" s="15"/>
      <c r="K70" s="97"/>
      <c r="L70" s="97"/>
      <c r="M70" s="20">
        <v>5000</v>
      </c>
      <c r="N70" s="17"/>
      <c r="O70" s="17"/>
      <c r="P70" s="17"/>
      <c r="Q70" s="17"/>
      <c r="R70" s="19"/>
      <c r="S70" s="19">
        <f t="shared" si="1"/>
        <v>5000</v>
      </c>
      <c r="T70" s="97"/>
      <c r="U70" s="19">
        <f t="shared" si="8"/>
        <v>0</v>
      </c>
      <c r="V70" s="19"/>
      <c r="W70" s="19">
        <v>0</v>
      </c>
      <c r="X70" s="19">
        <f t="shared" si="9"/>
        <v>5000</v>
      </c>
      <c r="Y70" s="176"/>
      <c r="Z70" s="24"/>
      <c r="AA70" s="145">
        <v>1</v>
      </c>
      <c r="AB70" s="36">
        <f t="shared" si="2"/>
        <v>0</v>
      </c>
      <c r="AC70" s="37" t="s">
        <v>515</v>
      </c>
      <c r="AD70" s="30"/>
      <c r="AE70" s="30"/>
      <c r="AF70" s="30"/>
      <c r="AG70" s="30"/>
      <c r="AH70" s="30"/>
      <c r="AI70" s="30"/>
      <c r="AJ70" s="30"/>
      <c r="AK70" s="30"/>
      <c r="AL70" s="31" t="str">
        <f t="shared" si="41"/>
        <v/>
      </c>
      <c r="AM70" s="31" t="str">
        <f t="shared" si="42"/>
        <v/>
      </c>
      <c r="AN70" s="24"/>
      <c r="AO70" s="42">
        <f t="shared" si="10"/>
        <v>0</v>
      </c>
      <c r="AP70" s="43">
        <f t="shared" si="5"/>
        <v>0</v>
      </c>
      <c r="AQ70" s="44" t="s">
        <v>55</v>
      </c>
      <c r="AR70" s="30"/>
      <c r="AS70" s="30"/>
      <c r="AT70" s="30"/>
      <c r="AU70" s="30"/>
      <c r="AV70" s="30"/>
      <c r="AW70" s="30"/>
      <c r="AX70" s="30"/>
      <c r="AY70" s="30"/>
      <c r="AZ70" s="31" t="str">
        <f t="shared" si="43"/>
        <v/>
      </c>
      <c r="BA70" s="31" t="str">
        <f t="shared" si="44"/>
        <v/>
      </c>
      <c r="BB70" s="136"/>
    </row>
    <row r="71" spans="1:54" x14ac:dyDescent="0.2">
      <c r="A71" s="236">
        <v>1</v>
      </c>
      <c r="B71" s="166">
        <f>SUM($A$2:$A71)</f>
        <v>70</v>
      </c>
      <c r="C71" s="142" t="s">
        <v>706</v>
      </c>
      <c r="D71" s="142" t="s">
        <v>720</v>
      </c>
      <c r="E71" s="142" t="s">
        <v>715</v>
      </c>
      <c r="F71" s="142"/>
      <c r="G71" s="142"/>
      <c r="H71" s="142" t="s">
        <v>712</v>
      </c>
      <c r="I71" s="15" t="str">
        <f t="shared" si="76"/>
        <v>FSA.Yolo.Retail.perSQFT</v>
      </c>
      <c r="J71" s="15"/>
      <c r="K71" s="97"/>
      <c r="L71" s="97"/>
      <c r="M71" s="20">
        <v>10000</v>
      </c>
      <c r="N71" s="20"/>
      <c r="O71" s="20"/>
      <c r="P71" s="20"/>
      <c r="Q71" s="20"/>
      <c r="R71" s="19"/>
      <c r="S71" s="19">
        <f t="shared" si="1"/>
        <v>10000</v>
      </c>
      <c r="T71" s="97"/>
      <c r="U71" s="19">
        <f t="shared" si="8"/>
        <v>0</v>
      </c>
      <c r="V71" s="19"/>
      <c r="W71" s="19">
        <v>0</v>
      </c>
      <c r="X71" s="19">
        <f t="shared" si="9"/>
        <v>10000</v>
      </c>
      <c r="Y71" s="176"/>
      <c r="Z71" s="24"/>
      <c r="AA71" s="145">
        <v>1</v>
      </c>
      <c r="AB71" s="36">
        <f t="shared" si="2"/>
        <v>0</v>
      </c>
      <c r="AC71" s="37" t="s">
        <v>515</v>
      </c>
      <c r="AD71" s="30"/>
      <c r="AE71" s="30"/>
      <c r="AF71" s="30"/>
      <c r="AG71" s="30"/>
      <c r="AH71" s="30"/>
      <c r="AI71" s="30"/>
      <c r="AJ71" s="30"/>
      <c r="AK71" s="30"/>
      <c r="AL71" s="31" t="str">
        <f t="shared" si="41"/>
        <v/>
      </c>
      <c r="AM71" s="31" t="str">
        <f t="shared" si="42"/>
        <v/>
      </c>
      <c r="AN71" s="24"/>
      <c r="AO71" s="42">
        <f t="shared" si="10"/>
        <v>0</v>
      </c>
      <c r="AP71" s="43">
        <f t="shared" si="5"/>
        <v>0</v>
      </c>
      <c r="AQ71" s="44" t="s">
        <v>55</v>
      </c>
      <c r="AR71" s="30"/>
      <c r="AS71" s="30"/>
      <c r="AT71" s="30"/>
      <c r="AU71" s="30"/>
      <c r="AV71" s="30"/>
      <c r="AW71" s="30"/>
      <c r="AX71" s="30"/>
      <c r="AY71" s="30"/>
      <c r="AZ71" s="31" t="str">
        <f t="shared" si="43"/>
        <v/>
      </c>
      <c r="BA71" s="31" t="str">
        <f t="shared" si="44"/>
        <v/>
      </c>
      <c r="BB71" s="136"/>
    </row>
    <row r="72" spans="1:54" x14ac:dyDescent="0.2">
      <c r="A72" s="236">
        <v>1</v>
      </c>
      <c r="B72" s="166">
        <f>SUM($A$2:$A72)</f>
        <v>71</v>
      </c>
      <c r="C72" s="142" t="s">
        <v>706</v>
      </c>
      <c r="D72" s="142" t="s">
        <v>720</v>
      </c>
      <c r="E72" s="142" t="s">
        <v>716</v>
      </c>
      <c r="F72" s="142"/>
      <c r="G72" s="142"/>
      <c r="H72" s="142" t="s">
        <v>712</v>
      </c>
      <c r="I72" s="157" t="str">
        <f t="shared" si="76"/>
        <v>FSA.Yolo.Warehouse.perSQFT</v>
      </c>
      <c r="J72" s="157"/>
      <c r="K72" s="158"/>
      <c r="L72" s="158"/>
      <c r="M72" s="159">
        <v>20000</v>
      </c>
      <c r="N72" s="159"/>
      <c r="O72" s="159"/>
      <c r="P72" s="159"/>
      <c r="Q72" s="159"/>
      <c r="R72" s="160"/>
      <c r="S72" s="160">
        <f t="shared" si="1"/>
        <v>20000</v>
      </c>
      <c r="T72" s="158"/>
      <c r="U72" s="160">
        <f t="shared" si="8"/>
        <v>0</v>
      </c>
      <c r="V72" s="160"/>
      <c r="W72" s="160">
        <v>0</v>
      </c>
      <c r="X72" s="160">
        <f t="shared" si="9"/>
        <v>20000</v>
      </c>
      <c r="Y72" s="177"/>
      <c r="Z72" s="24"/>
      <c r="AA72" s="146">
        <v>1</v>
      </c>
      <c r="AB72" s="38">
        <f t="shared" si="2"/>
        <v>0</v>
      </c>
      <c r="AC72" s="39" t="s">
        <v>515</v>
      </c>
      <c r="AD72" s="32"/>
      <c r="AE72" s="32"/>
      <c r="AF72" s="32"/>
      <c r="AG72" s="32"/>
      <c r="AH72" s="32"/>
      <c r="AI72" s="32"/>
      <c r="AJ72" s="32"/>
      <c r="AK72" s="32"/>
      <c r="AL72" s="33" t="str">
        <f t="shared" si="41"/>
        <v/>
      </c>
      <c r="AM72" s="33" t="str">
        <f t="shared" si="42"/>
        <v/>
      </c>
      <c r="AN72" s="24"/>
      <c r="AO72" s="45">
        <f t="shared" si="10"/>
        <v>0</v>
      </c>
      <c r="AP72" s="46">
        <f t="shared" si="5"/>
        <v>0</v>
      </c>
      <c r="AQ72" s="47" t="s">
        <v>55</v>
      </c>
      <c r="AR72" s="32"/>
      <c r="AS72" s="32"/>
      <c r="AT72" s="32"/>
      <c r="AU72" s="32"/>
      <c r="AV72" s="32"/>
      <c r="AW72" s="32"/>
      <c r="AX72" s="32"/>
      <c r="AY72" s="32"/>
      <c r="AZ72" s="33" t="str">
        <f t="shared" si="43"/>
        <v/>
      </c>
      <c r="BA72" s="33" t="str">
        <f t="shared" si="44"/>
        <v/>
      </c>
      <c r="BB72" s="137"/>
    </row>
    <row r="73" spans="1:54" ht="21.75" customHeight="1" x14ac:dyDescent="0.2">
      <c r="A73" s="237"/>
      <c r="B73" s="167"/>
      <c r="C73" s="24"/>
      <c r="D73" s="24"/>
      <c r="E73" s="24"/>
      <c r="F73" s="24"/>
      <c r="G73" s="24"/>
      <c r="H73" s="24"/>
      <c r="I73" s="25"/>
      <c r="J73" s="25"/>
      <c r="K73" s="165"/>
      <c r="L73" s="165"/>
      <c r="M73" s="26"/>
      <c r="N73" s="26"/>
      <c r="O73" s="26"/>
      <c r="P73" s="26"/>
      <c r="Q73" s="26"/>
      <c r="R73" s="26"/>
      <c r="S73" s="26"/>
      <c r="T73" s="165"/>
      <c r="U73" s="26"/>
      <c r="V73" s="26"/>
      <c r="W73" s="26"/>
      <c r="X73" s="26"/>
      <c r="Y73" s="25"/>
      <c r="Z73" s="141"/>
      <c r="AA73" s="25"/>
      <c r="AB73" s="25"/>
      <c r="AC73" s="25"/>
      <c r="AD73" s="26"/>
      <c r="AE73" s="26"/>
      <c r="AF73" s="26"/>
      <c r="AG73" s="26"/>
      <c r="AH73" s="26"/>
      <c r="AI73" s="26"/>
      <c r="AJ73" s="26"/>
      <c r="AK73" s="26"/>
      <c r="AL73" s="25"/>
      <c r="AM73" s="25"/>
      <c r="AN73" s="141"/>
      <c r="AO73" s="25"/>
      <c r="AP73" s="25"/>
      <c r="AQ73" s="25"/>
      <c r="AR73" s="26"/>
      <c r="AS73" s="26"/>
      <c r="AT73" s="26"/>
      <c r="AU73" s="26"/>
      <c r="AV73" s="26"/>
      <c r="AW73" s="26"/>
      <c r="AX73" s="26"/>
      <c r="AY73" s="26"/>
      <c r="AZ73" s="25"/>
      <c r="BA73" s="25"/>
      <c r="BB73" s="27"/>
    </row>
    <row r="74" spans="1:54" ht="35.1" customHeight="1" x14ac:dyDescent="0.2">
      <c r="A74" s="240"/>
      <c r="B74" s="230"/>
      <c r="C74" s="232"/>
      <c r="D74" s="232"/>
      <c r="E74" s="232"/>
      <c r="F74" s="232"/>
      <c r="G74" s="232"/>
      <c r="H74" s="233"/>
      <c r="I74" s="222" t="s">
        <v>721</v>
      </c>
      <c r="J74" s="222" t="s">
        <v>721</v>
      </c>
      <c r="K74" s="161"/>
      <c r="L74" s="161"/>
      <c r="M74" s="162"/>
      <c r="N74" s="162"/>
      <c r="O74" s="162"/>
      <c r="P74" s="162"/>
      <c r="Q74" s="162"/>
      <c r="R74" s="163"/>
      <c r="S74" s="163">
        <f>SUM(S9:S15)</f>
        <v>143</v>
      </c>
      <c r="T74" s="161"/>
      <c r="U74" s="163">
        <f>SUM(U9:U15)</f>
        <v>143</v>
      </c>
      <c r="V74" s="163"/>
      <c r="W74" s="163">
        <f>SUM(W9:W15)</f>
        <v>0</v>
      </c>
      <c r="X74" s="164">
        <f>SUM(X9:X15)</f>
        <v>143</v>
      </c>
      <c r="Z74" s="139"/>
      <c r="AA74" s="139"/>
      <c r="AB74" s="139"/>
      <c r="AC74" s="178" t="s">
        <v>722</v>
      </c>
      <c r="AD74" s="179" t="s">
        <v>723</v>
      </c>
      <c r="AE74" s="179" t="s">
        <v>724</v>
      </c>
      <c r="AF74" s="179" t="s">
        <v>725</v>
      </c>
      <c r="AG74" s="179" t="s">
        <v>726</v>
      </c>
      <c r="AH74" s="179" t="s">
        <v>727</v>
      </c>
      <c r="AI74" s="179"/>
      <c r="AJ74" s="179"/>
      <c r="AK74" s="179"/>
      <c r="AL74" s="29" t="str">
        <f>CONCATENATE(AD74,"-",AE74,"-",AF74,"-",AG74)</f>
        <v>01002-2029-716350-400310</v>
      </c>
      <c r="AM74" s="29" t="str">
        <f>CONCATENATE(AD74,"-",AE74,"-",AF74,"-",AG74)</f>
        <v>01002-2029-716350-400310</v>
      </c>
      <c r="AN74" s="139"/>
      <c r="AO74" s="139"/>
      <c r="AP74" s="139"/>
      <c r="AQ74" s="139"/>
      <c r="AR74" s="140"/>
      <c r="AS74" s="140"/>
      <c r="AT74" s="140"/>
      <c r="AU74" s="140"/>
      <c r="AV74" s="140"/>
      <c r="AW74" s="140"/>
      <c r="AX74" s="140"/>
      <c r="AY74" s="140"/>
      <c r="AZ74" s="139"/>
      <c r="BA74" s="139"/>
      <c r="BB74" s="139"/>
    </row>
    <row r="75" spans="1:54" ht="35.1" customHeight="1" x14ac:dyDescent="0.2">
      <c r="A75" s="241"/>
      <c r="B75" s="319"/>
      <c r="C75" s="229"/>
      <c r="D75" s="229"/>
      <c r="E75" s="229"/>
      <c r="F75" s="229"/>
      <c r="G75" s="229"/>
      <c r="H75" s="231"/>
      <c r="I75" s="223" t="s">
        <v>481</v>
      </c>
      <c r="J75" s="223" t="s">
        <v>481</v>
      </c>
      <c r="K75" s="120"/>
      <c r="L75" s="120"/>
      <c r="M75" s="121"/>
      <c r="N75" s="121"/>
      <c r="O75" s="121"/>
      <c r="P75" s="121"/>
      <c r="Q75" s="121"/>
      <c r="R75" s="122"/>
      <c r="S75" s="122">
        <f>SUM(S16:S25)</f>
        <v>1347.3</v>
      </c>
      <c r="T75" s="120"/>
      <c r="U75" s="122">
        <f>SUM(U16:U25)</f>
        <v>1347.3</v>
      </c>
      <c r="V75" s="122"/>
      <c r="W75" s="122">
        <f>SUM(W16:W25)</f>
        <v>0</v>
      </c>
      <c r="X75" s="123">
        <f>SUM(X16:X25)</f>
        <v>1347.3</v>
      </c>
      <c r="Z75" s="139"/>
      <c r="AA75" s="139"/>
      <c r="AB75" s="139"/>
      <c r="AC75" s="148" t="s">
        <v>728</v>
      </c>
      <c r="AD75" s="147"/>
      <c r="AE75" s="147"/>
      <c r="AF75" s="147"/>
      <c r="AG75" s="147"/>
      <c r="AH75" s="147"/>
      <c r="AI75" s="147"/>
      <c r="AJ75" s="147"/>
      <c r="AK75" s="147"/>
      <c r="AL75" s="31" t="str">
        <f t="shared" ref="AL75:AL85" si="87">CONCATENATE(AD75,"-",AE75,"-",AF75,"-",AG75)</f>
        <v>---</v>
      </c>
      <c r="AM75" s="31" t="str">
        <f t="shared" ref="AM75:AM85" si="88">CONCATENATE(AD75,"-",AE75,"-",AF75,"-",AG75)</f>
        <v>---</v>
      </c>
      <c r="AN75" s="139"/>
      <c r="AO75" s="139"/>
      <c r="AP75" s="139"/>
      <c r="AQ75" s="139"/>
      <c r="AR75" s="140"/>
      <c r="AS75" s="140"/>
      <c r="AT75" s="140"/>
      <c r="AU75" s="140"/>
      <c r="AV75" s="140"/>
      <c r="AW75" s="140"/>
      <c r="AX75" s="140"/>
      <c r="AY75" s="140"/>
      <c r="AZ75" s="139"/>
      <c r="BA75" s="139"/>
      <c r="BB75" s="139"/>
    </row>
    <row r="76" spans="1:54" ht="35.1" customHeight="1" x14ac:dyDescent="0.2">
      <c r="A76" s="241"/>
      <c r="B76" s="319"/>
      <c r="C76" s="229"/>
      <c r="D76" s="229"/>
      <c r="E76" s="229"/>
      <c r="F76" s="229"/>
      <c r="G76" s="229"/>
      <c r="H76" s="231"/>
      <c r="I76" s="224" t="s">
        <v>92</v>
      </c>
      <c r="J76" s="224" t="s">
        <v>92</v>
      </c>
      <c r="K76" s="124"/>
      <c r="L76" s="124"/>
      <c r="M76" s="125"/>
      <c r="N76" s="125"/>
      <c r="O76" s="125"/>
      <c r="P76" s="125"/>
      <c r="Q76" s="125"/>
      <c r="R76" s="126"/>
      <c r="S76" s="126">
        <f>SUM(S26:S33)</f>
        <v>30083.100000000002</v>
      </c>
      <c r="T76" s="124"/>
      <c r="U76" s="126">
        <f>SUM(U26:U33)</f>
        <v>28861.300000000003</v>
      </c>
      <c r="V76" s="126"/>
      <c r="W76" s="126">
        <f>SUM(W26:W33)</f>
        <v>0</v>
      </c>
      <c r="X76" s="127">
        <f>SUM(X26:X33)</f>
        <v>30083.100000000002</v>
      </c>
      <c r="Z76" s="139"/>
      <c r="AA76" s="139"/>
      <c r="AB76" s="139"/>
      <c r="AC76" s="148" t="s">
        <v>729</v>
      </c>
      <c r="AD76" s="147" t="s">
        <v>730</v>
      </c>
      <c r="AE76" s="147" t="s">
        <v>724</v>
      </c>
      <c r="AF76" s="147" t="s">
        <v>731</v>
      </c>
      <c r="AG76" s="147" t="s">
        <v>726</v>
      </c>
      <c r="AH76" s="147" t="s">
        <v>727</v>
      </c>
      <c r="AI76" s="147"/>
      <c r="AJ76" s="147"/>
      <c r="AK76" s="147"/>
      <c r="AL76" s="31" t="str">
        <f t="shared" si="87"/>
        <v>5031-2029-756350-400310</v>
      </c>
      <c r="AM76" s="31" t="str">
        <f t="shared" si="88"/>
        <v>5031-2029-756350-400310</v>
      </c>
      <c r="AN76" s="139"/>
      <c r="AO76" s="139"/>
      <c r="AP76" s="139"/>
      <c r="AQ76" s="139"/>
      <c r="AR76" s="140"/>
      <c r="AS76" s="140"/>
      <c r="AT76" s="140"/>
      <c r="AU76" s="140"/>
      <c r="AV76" s="140"/>
      <c r="AW76" s="140"/>
      <c r="AX76" s="140"/>
      <c r="AY76" s="140"/>
      <c r="AZ76" s="139"/>
      <c r="BA76" s="139"/>
      <c r="BB76" s="139"/>
    </row>
    <row r="77" spans="1:54" ht="35.1" customHeight="1" x14ac:dyDescent="0.2">
      <c r="A77" s="241"/>
      <c r="B77" s="319"/>
      <c r="C77" s="229"/>
      <c r="D77" s="229"/>
      <c r="E77" s="229"/>
      <c r="F77" s="229"/>
      <c r="G77" s="229"/>
      <c r="H77" s="231"/>
      <c r="I77" s="225" t="s">
        <v>732</v>
      </c>
      <c r="J77" s="225" t="s">
        <v>732</v>
      </c>
      <c r="K77" s="128"/>
      <c r="L77" s="128"/>
      <c r="M77" s="129"/>
      <c r="N77" s="129"/>
      <c r="O77" s="129"/>
      <c r="P77" s="129"/>
      <c r="Q77" s="129"/>
      <c r="R77" s="130"/>
      <c r="S77" s="130">
        <f>SUM(S74:S76)</f>
        <v>31573.4</v>
      </c>
      <c r="T77" s="128"/>
      <c r="U77" s="130">
        <f>SUM(U9:U33)</f>
        <v>30351.600000000002</v>
      </c>
      <c r="V77" s="130"/>
      <c r="W77" s="130">
        <f>SUM(W9:W33)</f>
        <v>0</v>
      </c>
      <c r="X77" s="131">
        <f>SUM(X9:X33)</f>
        <v>31573.4</v>
      </c>
      <c r="Z77" s="139"/>
      <c r="AA77" s="139"/>
      <c r="AB77" s="139"/>
      <c r="AC77" s="148" t="s">
        <v>733</v>
      </c>
      <c r="AD77" s="147" t="s">
        <v>730</v>
      </c>
      <c r="AE77" s="147" t="s">
        <v>724</v>
      </c>
      <c r="AF77" s="147" t="s">
        <v>731</v>
      </c>
      <c r="AG77" s="147" t="s">
        <v>734</v>
      </c>
      <c r="AH77" s="147" t="s">
        <v>727</v>
      </c>
      <c r="AI77" s="147"/>
      <c r="AJ77" s="147"/>
      <c r="AK77" s="147"/>
      <c r="AL77" s="31" t="str">
        <f t="shared" si="87"/>
        <v>5031-2029-756350-40400</v>
      </c>
      <c r="AM77" s="31" t="str">
        <f t="shared" si="88"/>
        <v>5031-2029-756350-40400</v>
      </c>
      <c r="AN77" s="139"/>
      <c r="AO77" s="139"/>
      <c r="AP77" s="139"/>
      <c r="AQ77" s="139"/>
      <c r="AR77" s="140"/>
      <c r="AS77" s="140"/>
      <c r="AT77" s="140"/>
      <c r="AU77" s="140"/>
      <c r="AV77" s="140"/>
      <c r="AW77" s="140"/>
      <c r="AX77" s="140"/>
      <c r="AY77" s="140"/>
      <c r="AZ77" s="139"/>
      <c r="BA77" s="139"/>
      <c r="BB77" s="139"/>
    </row>
    <row r="78" spans="1:54" ht="35.1" customHeight="1" x14ac:dyDescent="0.2">
      <c r="A78" s="241"/>
      <c r="B78" s="319"/>
      <c r="C78" s="229"/>
      <c r="D78" s="229"/>
      <c r="E78" s="229"/>
      <c r="F78" s="229"/>
      <c r="G78" s="229"/>
      <c r="H78" s="231"/>
      <c r="I78" s="226" t="s">
        <v>735</v>
      </c>
      <c r="J78" s="226" t="s">
        <v>735</v>
      </c>
      <c r="K78" s="132"/>
      <c r="L78" s="132"/>
      <c r="M78" s="133"/>
      <c r="N78" s="133"/>
      <c r="O78" s="133"/>
      <c r="P78" s="133"/>
      <c r="Q78" s="133"/>
      <c r="R78" s="134"/>
      <c r="S78" s="134">
        <f>SUM(S2:S5,S34:S72)</f>
        <v>263946.19999999995</v>
      </c>
      <c r="T78" s="132"/>
      <c r="U78" s="134">
        <f>SUM(U2:U5,U34:U72)</f>
        <v>0</v>
      </c>
      <c r="V78" s="134"/>
      <c r="W78" s="134">
        <f>SUM(W2:W5,W34:W72)</f>
        <v>0</v>
      </c>
      <c r="X78" s="135">
        <f>SUM(X2:X5,X34:X72)</f>
        <v>263946.19999999995</v>
      </c>
      <c r="Z78" s="139"/>
      <c r="AA78" s="139"/>
      <c r="AB78" s="139"/>
      <c r="AC78" s="148" t="s">
        <v>736</v>
      </c>
      <c r="AD78" s="147" t="s">
        <v>730</v>
      </c>
      <c r="AE78" s="147" t="s">
        <v>737</v>
      </c>
      <c r="AF78" s="147" t="s">
        <v>738</v>
      </c>
      <c r="AG78" s="147" t="s">
        <v>739</v>
      </c>
      <c r="AH78" s="147" t="s">
        <v>740</v>
      </c>
      <c r="AI78" s="147"/>
      <c r="AJ78" s="147"/>
      <c r="AK78" s="147"/>
      <c r="AL78" s="31" t="str">
        <f t="shared" si="87"/>
        <v>5031-9900-0100012-10700</v>
      </c>
      <c r="AM78" s="31" t="str">
        <f t="shared" si="88"/>
        <v>5031-9900-0100012-10700</v>
      </c>
      <c r="AN78" s="139"/>
      <c r="AO78" s="139"/>
      <c r="AP78" s="139"/>
      <c r="AQ78" s="139"/>
      <c r="AR78" s="140"/>
      <c r="AS78" s="140"/>
      <c r="AT78" s="140"/>
      <c r="AU78" s="140"/>
      <c r="AV78" s="140"/>
      <c r="AW78" s="140"/>
      <c r="AX78" s="140"/>
      <c r="AY78" s="140"/>
      <c r="AZ78" s="139"/>
      <c r="BA78" s="139"/>
      <c r="BB78" s="139"/>
    </row>
    <row r="79" spans="1:54" ht="35.1" customHeight="1" x14ac:dyDescent="0.2">
      <c r="A79" s="241"/>
      <c r="B79" s="319"/>
      <c r="C79" s="229"/>
      <c r="D79" s="229"/>
      <c r="E79" s="229"/>
      <c r="F79" s="229"/>
      <c r="G79" s="229"/>
      <c r="H79" s="231"/>
      <c r="I79" s="227" t="s">
        <v>741</v>
      </c>
      <c r="J79" s="227" t="s">
        <v>741</v>
      </c>
      <c r="K79" s="149"/>
      <c r="L79" s="149"/>
      <c r="M79" s="150"/>
      <c r="N79" s="150"/>
      <c r="O79" s="150"/>
      <c r="P79" s="150"/>
      <c r="Q79" s="150"/>
      <c r="R79" s="151"/>
      <c r="S79" s="151">
        <f>SUM(S2:S72)</f>
        <v>295534.59999999998</v>
      </c>
      <c r="T79" s="149"/>
      <c r="U79" s="151">
        <f>SUM(U2:U72)</f>
        <v>30366.600000000002</v>
      </c>
      <c r="V79" s="151"/>
      <c r="W79" s="151">
        <f>SUM(W2:W72)</f>
        <v>0</v>
      </c>
      <c r="X79" s="152">
        <f>SUM(X2:X72)</f>
        <v>295534.59999999998</v>
      </c>
      <c r="Z79" s="139"/>
      <c r="AA79" s="139"/>
      <c r="AB79" s="139"/>
      <c r="AC79" s="148" t="s">
        <v>742</v>
      </c>
      <c r="AD79" s="147" t="s">
        <v>730</v>
      </c>
      <c r="AE79" s="147" t="s">
        <v>737</v>
      </c>
      <c r="AF79" s="147" t="s">
        <v>738</v>
      </c>
      <c r="AG79" s="147" t="s">
        <v>739</v>
      </c>
      <c r="AH79" s="147" t="s">
        <v>743</v>
      </c>
      <c r="AI79" s="147"/>
      <c r="AJ79" s="147"/>
      <c r="AK79" s="147"/>
      <c r="AL79" s="31" t="str">
        <f t="shared" si="87"/>
        <v>5031-9900-0100012-10700</v>
      </c>
      <c r="AM79" s="31" t="str">
        <f t="shared" si="88"/>
        <v>5031-9900-0100012-10700</v>
      </c>
      <c r="AN79" s="139"/>
      <c r="AO79" s="139"/>
      <c r="AP79" s="139"/>
      <c r="AQ79" s="139"/>
      <c r="AR79" s="140"/>
      <c r="AS79" s="140"/>
      <c r="AT79" s="140"/>
      <c r="AU79" s="140"/>
      <c r="AV79" s="140"/>
      <c r="AW79" s="140"/>
      <c r="AX79" s="140"/>
      <c r="AY79" s="140"/>
      <c r="AZ79" s="139"/>
      <c r="BA79" s="139"/>
      <c r="BB79" s="139"/>
    </row>
    <row r="80" spans="1:54" ht="35.1" customHeight="1" x14ac:dyDescent="0.2">
      <c r="A80" s="238"/>
      <c r="B80" s="5"/>
      <c r="C80" s="229"/>
      <c r="D80" s="229"/>
      <c r="E80" s="229"/>
      <c r="F80" s="229"/>
      <c r="G80" s="229"/>
      <c r="H80" s="229"/>
      <c r="I80" s="153"/>
      <c r="J80" s="153"/>
      <c r="K80" s="154"/>
      <c r="L80" s="154"/>
      <c r="M80" s="155"/>
      <c r="N80" s="155"/>
      <c r="O80" s="155"/>
      <c r="P80" s="155"/>
      <c r="Q80" s="155"/>
      <c r="R80" s="156"/>
      <c r="S80" s="156"/>
      <c r="T80" s="154"/>
      <c r="U80" s="156"/>
      <c r="V80" s="156"/>
      <c r="W80" s="156"/>
      <c r="X80" s="156"/>
      <c r="Z80" s="139"/>
      <c r="AA80" s="139"/>
      <c r="AB80" s="139"/>
      <c r="AC80" s="148" t="s">
        <v>736</v>
      </c>
      <c r="AD80" s="147" t="s">
        <v>730</v>
      </c>
      <c r="AE80" s="147" t="s">
        <v>724</v>
      </c>
      <c r="AF80" s="147" t="s">
        <v>744</v>
      </c>
      <c r="AG80" s="147"/>
      <c r="AH80" s="147"/>
      <c r="AI80" s="147"/>
      <c r="AJ80" s="147"/>
      <c r="AK80" s="147"/>
      <c r="AL80" s="31" t="str">
        <f t="shared" si="87"/>
        <v>5031-2029-756315-</v>
      </c>
      <c r="AM80" s="31" t="str">
        <f t="shared" si="88"/>
        <v>5031-2029-756315-</v>
      </c>
      <c r="AN80" s="139"/>
      <c r="AO80" s="139"/>
      <c r="AP80" s="139"/>
      <c r="AQ80" s="139"/>
      <c r="AR80" s="140"/>
      <c r="AS80" s="140"/>
      <c r="AT80" s="140"/>
      <c r="AU80" s="140"/>
      <c r="AV80" s="140"/>
      <c r="AW80" s="140"/>
      <c r="AX80" s="140"/>
      <c r="AY80" s="140"/>
      <c r="AZ80" s="139"/>
      <c r="BA80" s="139"/>
      <c r="BB80" s="139"/>
    </row>
    <row r="81" spans="1:54" ht="35.1" customHeight="1" x14ac:dyDescent="0.2">
      <c r="A81" s="238"/>
      <c r="B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Z81" s="139"/>
      <c r="AA81" s="139"/>
      <c r="AB81" s="139"/>
      <c r="AC81" s="148" t="s">
        <v>745</v>
      </c>
      <c r="AD81" s="147" t="s">
        <v>730</v>
      </c>
      <c r="AE81" s="147" t="s">
        <v>724</v>
      </c>
      <c r="AF81" s="147" t="s">
        <v>746</v>
      </c>
      <c r="AG81" s="147"/>
      <c r="AH81" s="147"/>
      <c r="AI81" s="147"/>
      <c r="AJ81" s="147"/>
      <c r="AK81" s="147"/>
      <c r="AL81" s="31" t="str">
        <f t="shared" si="87"/>
        <v>5031-2029-756325-</v>
      </c>
      <c r="AM81" s="31" t="str">
        <f t="shared" si="88"/>
        <v>5031-2029-756325-</v>
      </c>
      <c r="AN81" s="139"/>
      <c r="AO81" s="139"/>
      <c r="AP81" s="139"/>
      <c r="AQ81" s="139"/>
      <c r="AR81" s="140"/>
      <c r="AS81" s="140"/>
      <c r="AT81" s="140"/>
      <c r="AU81" s="140"/>
      <c r="AV81" s="140"/>
      <c r="AW81" s="140"/>
      <c r="AX81" s="140"/>
      <c r="AY81" s="140"/>
      <c r="AZ81" s="139"/>
      <c r="BA81" s="139"/>
      <c r="BB81" s="139"/>
    </row>
    <row r="82" spans="1:54" ht="35.1" customHeight="1" x14ac:dyDescent="0.2">
      <c r="A82" s="238"/>
      <c r="B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Z82" s="139"/>
      <c r="AA82" s="139"/>
      <c r="AB82" s="139"/>
      <c r="AC82" s="148"/>
      <c r="AD82" s="147"/>
      <c r="AE82" s="147"/>
      <c r="AF82" s="147"/>
      <c r="AG82" s="147"/>
      <c r="AH82" s="147"/>
      <c r="AI82" s="147"/>
      <c r="AJ82" s="147"/>
      <c r="AK82" s="147"/>
      <c r="AL82" s="31" t="str">
        <f t="shared" si="87"/>
        <v>---</v>
      </c>
      <c r="AM82" s="31" t="str">
        <f t="shared" si="88"/>
        <v>---</v>
      </c>
      <c r="AN82" s="139"/>
      <c r="AO82" s="139"/>
      <c r="AP82" s="139"/>
      <c r="AQ82" s="139"/>
      <c r="AR82" s="140"/>
      <c r="AS82" s="140"/>
      <c r="AT82" s="140"/>
      <c r="AU82" s="140"/>
      <c r="AV82" s="140"/>
      <c r="AW82" s="140"/>
      <c r="AX82" s="140"/>
      <c r="AY82" s="140"/>
      <c r="AZ82" s="139"/>
      <c r="BA82" s="139"/>
      <c r="BB82" s="139"/>
    </row>
    <row r="83" spans="1:54" ht="35.1" customHeight="1" x14ac:dyDescent="0.2">
      <c r="A83" s="238"/>
      <c r="B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Z83" s="139"/>
      <c r="AC83" s="148"/>
      <c r="AD83" s="147"/>
      <c r="AE83" s="147"/>
      <c r="AF83" s="147"/>
      <c r="AG83" s="147"/>
      <c r="AH83" s="147"/>
      <c r="AI83" s="147"/>
      <c r="AJ83" s="147"/>
      <c r="AK83" s="147"/>
      <c r="AL83" s="31" t="str">
        <f t="shared" si="87"/>
        <v>---</v>
      </c>
      <c r="AM83" s="31" t="str">
        <f t="shared" si="88"/>
        <v>---</v>
      </c>
      <c r="AP83" s="139"/>
      <c r="AQ83" s="139"/>
      <c r="AR83" s="140"/>
      <c r="AS83" s="140"/>
      <c r="AT83" s="140"/>
      <c r="AU83" s="140"/>
      <c r="AV83" s="140"/>
      <c r="AW83" s="140"/>
      <c r="AX83" s="140"/>
      <c r="AY83" s="140"/>
      <c r="AZ83" s="139"/>
      <c r="BA83" s="139"/>
      <c r="BB83" s="139"/>
    </row>
    <row r="84" spans="1:54" ht="35.1" customHeight="1" x14ac:dyDescent="0.2"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AC84" s="148"/>
      <c r="AD84" s="147"/>
      <c r="AE84" s="147"/>
      <c r="AF84" s="147"/>
      <c r="AG84" s="147"/>
      <c r="AH84" s="147"/>
      <c r="AI84" s="147"/>
      <c r="AJ84" s="147"/>
      <c r="AK84" s="147"/>
      <c r="AL84" s="31" t="str">
        <f t="shared" si="87"/>
        <v>---</v>
      </c>
      <c r="AM84" s="31" t="str">
        <f t="shared" si="88"/>
        <v>---</v>
      </c>
    </row>
    <row r="85" spans="1:54" ht="35.1" customHeight="1" x14ac:dyDescent="0.2">
      <c r="R85" s="8"/>
      <c r="S85" s="8"/>
      <c r="U85" s="8"/>
      <c r="V85" s="8"/>
      <c r="W85" s="8"/>
      <c r="X85" s="8"/>
      <c r="AC85" s="180"/>
      <c r="AD85" s="181"/>
      <c r="AE85" s="181"/>
      <c r="AF85" s="181"/>
      <c r="AG85" s="181"/>
      <c r="AH85" s="181"/>
      <c r="AI85" s="181"/>
      <c r="AJ85" s="181"/>
      <c r="AK85" s="181"/>
      <c r="AL85" s="182" t="str">
        <f t="shared" si="87"/>
        <v>---</v>
      </c>
      <c r="AM85" s="182" t="str">
        <f t="shared" si="88"/>
        <v>---</v>
      </c>
    </row>
    <row r="86" spans="1:54" x14ac:dyDescent="0.2">
      <c r="R86" s="8"/>
      <c r="S86" s="8"/>
      <c r="U86" s="8"/>
      <c r="V86" s="8"/>
      <c r="W86" s="8"/>
      <c r="X86" s="8"/>
    </row>
    <row r="87" spans="1:54" x14ac:dyDescent="0.2">
      <c r="R87" s="8"/>
      <c r="S87" s="8"/>
      <c r="U87" s="8"/>
      <c r="V87" s="8"/>
      <c r="W87" s="8"/>
      <c r="X87" s="8"/>
    </row>
    <row r="88" spans="1:54" x14ac:dyDescent="0.2">
      <c r="R88" s="8"/>
      <c r="S88" s="8"/>
      <c r="U88" s="8"/>
      <c r="V88" s="8"/>
      <c r="W88" s="8"/>
      <c r="X88" s="8"/>
    </row>
    <row r="89" spans="1:54" x14ac:dyDescent="0.2">
      <c r="R89" s="8"/>
      <c r="S89" s="8"/>
      <c r="U89" s="8"/>
      <c r="V89" s="8"/>
      <c r="W89" s="8"/>
      <c r="X89" s="8"/>
    </row>
    <row r="90" spans="1:54" x14ac:dyDescent="0.2">
      <c r="R90" s="8"/>
      <c r="S90" s="8"/>
      <c r="U90" s="8"/>
      <c r="V90" s="8"/>
      <c r="W90" s="8"/>
      <c r="X90" s="8"/>
    </row>
    <row r="91" spans="1:54" x14ac:dyDescent="0.2">
      <c r="R91" s="8"/>
      <c r="S91" s="8"/>
      <c r="U91" s="8"/>
      <c r="V91" s="8"/>
      <c r="W91" s="8"/>
      <c r="X91" s="8"/>
    </row>
    <row r="92" spans="1:54" x14ac:dyDescent="0.2">
      <c r="R92" s="8"/>
      <c r="S92" s="8"/>
      <c r="U92" s="8"/>
      <c r="V92" s="8"/>
      <c r="W92" s="8"/>
      <c r="X92" s="8"/>
    </row>
    <row r="93" spans="1:54" x14ac:dyDescent="0.2">
      <c r="R93" s="8"/>
      <c r="S93" s="8"/>
      <c r="U93" s="8"/>
      <c r="V93" s="8"/>
      <c r="W93" s="8"/>
      <c r="X93" s="8"/>
    </row>
    <row r="94" spans="1:54" x14ac:dyDescent="0.2">
      <c r="R94" s="8"/>
      <c r="S94" s="8"/>
      <c r="U94" s="8"/>
      <c r="V94" s="8"/>
      <c r="W94" s="8"/>
      <c r="X94" s="8"/>
    </row>
    <row r="95" spans="1:54" x14ac:dyDescent="0.2">
      <c r="R95" s="8"/>
      <c r="S95" s="8"/>
      <c r="U95" s="8"/>
      <c r="V95" s="8"/>
      <c r="W95" s="8"/>
      <c r="X95" s="8"/>
    </row>
    <row r="96" spans="1:54" x14ac:dyDescent="0.2">
      <c r="R96" s="8"/>
      <c r="S96" s="8"/>
      <c r="U96" s="8"/>
      <c r="V96" s="8"/>
      <c r="W96" s="8"/>
      <c r="X96" s="8"/>
    </row>
    <row r="97" spans="18:24" x14ac:dyDescent="0.2">
      <c r="R97" s="8"/>
      <c r="S97" s="8"/>
      <c r="U97" s="8"/>
      <c r="V97" s="8"/>
      <c r="W97" s="8"/>
      <c r="X97" s="8"/>
    </row>
    <row r="98" spans="18:24" x14ac:dyDescent="0.2">
      <c r="R98" s="8"/>
      <c r="S98" s="8"/>
      <c r="U98" s="8"/>
      <c r="V98" s="8"/>
      <c r="W98" s="8"/>
      <c r="X98" s="8"/>
    </row>
    <row r="99" spans="18:24" x14ac:dyDescent="0.2">
      <c r="R99" s="8"/>
      <c r="S99" s="8"/>
      <c r="U99" s="8"/>
      <c r="V99" s="8"/>
      <c r="W99" s="8"/>
      <c r="X99" s="8"/>
    </row>
    <row r="100" spans="18:24" x14ac:dyDescent="0.2">
      <c r="R100" s="8"/>
      <c r="S100" s="8"/>
      <c r="U100" s="8"/>
      <c r="V100" s="8"/>
      <c r="W100" s="8"/>
      <c r="X100" s="8"/>
    </row>
    <row r="101" spans="18:24" x14ac:dyDescent="0.2">
      <c r="R101" s="8"/>
      <c r="S101" s="8"/>
      <c r="U101" s="8"/>
      <c r="V101" s="8"/>
      <c r="W101" s="8"/>
      <c r="X101" s="8"/>
    </row>
    <row r="102" spans="18:24" x14ac:dyDescent="0.2">
      <c r="R102" s="8"/>
      <c r="S102" s="8"/>
      <c r="U102" s="8"/>
      <c r="V102" s="8"/>
      <c r="W102" s="8"/>
      <c r="X102" s="8"/>
    </row>
    <row r="103" spans="18:24" x14ac:dyDescent="0.2">
      <c r="R103" s="8"/>
      <c r="S103" s="8"/>
      <c r="U103" s="8"/>
      <c r="V103" s="8"/>
      <c r="W103" s="8"/>
      <c r="X103" s="8"/>
    </row>
    <row r="104" spans="18:24" x14ac:dyDescent="0.2">
      <c r="R104" s="8"/>
      <c r="S104" s="8"/>
      <c r="U104" s="8"/>
      <c r="V104" s="8"/>
      <c r="W104" s="8"/>
      <c r="X104" s="8"/>
    </row>
    <row r="105" spans="18:24" x14ac:dyDescent="0.2">
      <c r="R105" s="8"/>
      <c r="S105" s="8"/>
      <c r="U105" s="8"/>
      <c r="V105" s="8"/>
      <c r="W105" s="8"/>
      <c r="X105" s="8"/>
    </row>
    <row r="106" spans="18:24" x14ac:dyDescent="0.2">
      <c r="R106" s="8"/>
      <c r="S106" s="8"/>
      <c r="U106" s="8"/>
      <c r="V106" s="8"/>
      <c r="W106" s="8"/>
      <c r="X106" s="8"/>
    </row>
    <row r="107" spans="18:24" x14ac:dyDescent="0.2">
      <c r="R107" s="8"/>
      <c r="S107" s="8"/>
      <c r="U107" s="8"/>
      <c r="V107" s="8"/>
      <c r="W107" s="8"/>
      <c r="X107" s="8"/>
    </row>
    <row r="108" spans="18:24" x14ac:dyDescent="0.2">
      <c r="R108" s="8"/>
      <c r="S108" s="8"/>
      <c r="U108" s="8"/>
      <c r="V108" s="8"/>
      <c r="W108" s="8"/>
      <c r="X108" s="8"/>
    </row>
    <row r="109" spans="18:24" x14ac:dyDescent="0.2">
      <c r="R109" s="8"/>
      <c r="S109" s="8"/>
      <c r="U109" s="8"/>
      <c r="V109" s="8"/>
      <c r="W109" s="8"/>
      <c r="X109" s="8"/>
    </row>
    <row r="110" spans="18:24" x14ac:dyDescent="0.2">
      <c r="R110" s="8"/>
      <c r="S110" s="8"/>
      <c r="U110" s="8"/>
      <c r="V110" s="8"/>
      <c r="W110" s="8"/>
      <c r="X110" s="8"/>
    </row>
    <row r="111" spans="18:24" x14ac:dyDescent="0.2">
      <c r="R111" s="8"/>
      <c r="S111" s="8"/>
      <c r="U111" s="8"/>
      <c r="V111" s="8"/>
      <c r="W111" s="8"/>
      <c r="X111" s="8"/>
    </row>
    <row r="112" spans="18:24" x14ac:dyDescent="0.2">
      <c r="R112" s="8"/>
      <c r="S112" s="8"/>
      <c r="U112" s="8"/>
      <c r="V112" s="8"/>
      <c r="W112" s="8"/>
      <c r="X112" s="8"/>
    </row>
    <row r="113" spans="18:24" x14ac:dyDescent="0.2">
      <c r="R113" s="8"/>
      <c r="S113" s="8"/>
      <c r="U113" s="8"/>
      <c r="V113" s="8"/>
      <c r="W113" s="8"/>
      <c r="X113" s="8"/>
    </row>
    <row r="114" spans="18:24" x14ac:dyDescent="0.2">
      <c r="R114" s="8"/>
      <c r="S114" s="8"/>
      <c r="U114" s="8"/>
      <c r="V114" s="8"/>
      <c r="W114" s="8"/>
      <c r="X114" s="8"/>
    </row>
    <row r="115" spans="18:24" x14ac:dyDescent="0.2">
      <c r="R115" s="8"/>
      <c r="S115" s="8"/>
      <c r="U115" s="8"/>
      <c r="V115" s="8"/>
      <c r="W115" s="8"/>
      <c r="X115" s="8"/>
    </row>
    <row r="116" spans="18:24" x14ac:dyDescent="0.2">
      <c r="R116" s="8"/>
      <c r="S116" s="8"/>
      <c r="U116" s="8"/>
      <c r="V116" s="8"/>
      <c r="W116" s="8"/>
      <c r="X116" s="8"/>
    </row>
    <row r="117" spans="18:24" x14ac:dyDescent="0.2">
      <c r="R117" s="8"/>
      <c r="S117" s="8"/>
      <c r="U117" s="8"/>
      <c r="V117" s="8"/>
      <c r="W117" s="8"/>
      <c r="X117" s="8"/>
    </row>
    <row r="118" spans="18:24" x14ac:dyDescent="0.2">
      <c r="R118" s="8"/>
      <c r="S118" s="8"/>
      <c r="U118" s="8"/>
      <c r="V118" s="8"/>
      <c r="W118" s="8"/>
      <c r="X118" s="8"/>
    </row>
    <row r="119" spans="18:24" x14ac:dyDescent="0.2">
      <c r="R119" s="8"/>
      <c r="S119" s="8"/>
      <c r="U119" s="8"/>
      <c r="V119" s="8"/>
      <c r="W119" s="8"/>
      <c r="X119" s="8"/>
    </row>
    <row r="120" spans="18:24" x14ac:dyDescent="0.2">
      <c r="R120" s="8"/>
      <c r="S120" s="8"/>
      <c r="U120" s="8"/>
      <c r="V120" s="8"/>
      <c r="W120" s="8"/>
      <c r="X120" s="8"/>
    </row>
    <row r="121" spans="18:24" x14ac:dyDescent="0.2">
      <c r="R121" s="8"/>
      <c r="S121" s="8"/>
      <c r="U121" s="8"/>
      <c r="V121" s="8"/>
      <c r="W121" s="8"/>
      <c r="X121" s="8"/>
    </row>
    <row r="122" spans="18:24" x14ac:dyDescent="0.2">
      <c r="R122" s="8"/>
      <c r="S122" s="8"/>
      <c r="U122" s="8"/>
      <c r="V122" s="8"/>
      <c r="W122" s="8"/>
      <c r="X122" s="8"/>
    </row>
    <row r="123" spans="18:24" x14ac:dyDescent="0.2">
      <c r="R123" s="8"/>
      <c r="S123" s="8"/>
      <c r="U123" s="8"/>
      <c r="V123" s="8"/>
      <c r="W123" s="8"/>
      <c r="X123" s="8"/>
    </row>
    <row r="124" spans="18:24" x14ac:dyDescent="0.2">
      <c r="R124" s="8"/>
      <c r="S124" s="8"/>
      <c r="U124" s="8"/>
      <c r="V124" s="8"/>
      <c r="W124" s="8"/>
      <c r="X124" s="8"/>
    </row>
    <row r="125" spans="18:24" x14ac:dyDescent="0.2">
      <c r="R125" s="8"/>
      <c r="S125" s="8"/>
      <c r="U125" s="8"/>
      <c r="V125" s="8"/>
      <c r="W125" s="8"/>
      <c r="X125" s="8"/>
    </row>
    <row r="126" spans="18:24" x14ac:dyDescent="0.2">
      <c r="R126" s="8"/>
      <c r="S126" s="8"/>
      <c r="U126" s="8"/>
      <c r="V126" s="8"/>
      <c r="W126" s="8"/>
      <c r="X126" s="8"/>
    </row>
    <row r="127" spans="18:24" x14ac:dyDescent="0.2">
      <c r="R127" s="8"/>
      <c r="S127" s="8"/>
      <c r="U127" s="8"/>
      <c r="V127" s="8"/>
      <c r="W127" s="8"/>
      <c r="X127" s="8"/>
    </row>
    <row r="128" spans="18:24" x14ac:dyDescent="0.2">
      <c r="R128" s="8"/>
      <c r="S128" s="8"/>
      <c r="U128" s="8"/>
      <c r="V128" s="8"/>
      <c r="W128" s="8"/>
      <c r="X128" s="8"/>
    </row>
    <row r="129" spans="18:24" x14ac:dyDescent="0.2">
      <c r="R129" s="8"/>
      <c r="S129" s="8"/>
      <c r="U129" s="8"/>
      <c r="V129" s="8"/>
      <c r="W129" s="8"/>
      <c r="X129" s="8"/>
    </row>
    <row r="130" spans="18:24" x14ac:dyDescent="0.2">
      <c r="R130" s="8"/>
      <c r="S130" s="8"/>
      <c r="U130" s="8"/>
      <c r="V130" s="8"/>
      <c r="W130" s="8"/>
      <c r="X130" s="8"/>
    </row>
    <row r="131" spans="18:24" x14ac:dyDescent="0.2">
      <c r="R131" s="8"/>
      <c r="S131" s="8"/>
      <c r="U131" s="8"/>
      <c r="V131" s="8"/>
      <c r="W131" s="8"/>
      <c r="X131" s="8"/>
    </row>
    <row r="132" spans="18:24" x14ac:dyDescent="0.2">
      <c r="R132" s="8"/>
      <c r="S132" s="8"/>
      <c r="U132" s="8"/>
      <c r="V132" s="8"/>
      <c r="W132" s="8"/>
      <c r="X132" s="8"/>
    </row>
    <row r="133" spans="18:24" x14ac:dyDescent="0.2">
      <c r="R133" s="8"/>
      <c r="S133" s="8"/>
      <c r="U133" s="8"/>
      <c r="V133" s="8"/>
      <c r="W133" s="8"/>
      <c r="X133" s="8"/>
    </row>
    <row r="134" spans="18:24" x14ac:dyDescent="0.2">
      <c r="R134" s="8"/>
      <c r="S134" s="8"/>
      <c r="U134" s="8"/>
      <c r="V134" s="8"/>
      <c r="W134" s="8"/>
      <c r="X134" s="8"/>
    </row>
    <row r="135" spans="18:24" x14ac:dyDescent="0.2">
      <c r="R135" s="8"/>
      <c r="S135" s="8"/>
      <c r="U135" s="8"/>
      <c r="V135" s="8"/>
      <c r="W135" s="8"/>
      <c r="X135" s="8"/>
    </row>
    <row r="136" spans="18:24" x14ac:dyDescent="0.2">
      <c r="R136" s="8"/>
      <c r="S136" s="8"/>
      <c r="U136" s="8"/>
      <c r="V136" s="8"/>
      <c r="W136" s="8"/>
      <c r="X136" s="8"/>
    </row>
    <row r="137" spans="18:24" x14ac:dyDescent="0.2">
      <c r="R137" s="8"/>
      <c r="S137" s="8"/>
      <c r="U137" s="8"/>
      <c r="V137" s="8"/>
      <c r="W137" s="8"/>
      <c r="X137" s="8"/>
    </row>
    <row r="138" spans="18:24" x14ac:dyDescent="0.2">
      <c r="R138" s="8"/>
      <c r="S138" s="8"/>
      <c r="U138" s="8"/>
      <c r="V138" s="8"/>
      <c r="W138" s="8"/>
      <c r="X138" s="8"/>
    </row>
    <row r="139" spans="18:24" x14ac:dyDescent="0.2">
      <c r="R139" s="8"/>
      <c r="S139" s="8"/>
      <c r="U139" s="8"/>
      <c r="V139" s="8"/>
      <c r="W139" s="8"/>
      <c r="X139" s="8"/>
    </row>
    <row r="140" spans="18:24" x14ac:dyDescent="0.2">
      <c r="R140" s="8"/>
      <c r="S140" s="8"/>
      <c r="U140" s="8"/>
      <c r="V140" s="8"/>
      <c r="W140" s="8"/>
      <c r="X140" s="8"/>
    </row>
    <row r="141" spans="18:24" x14ac:dyDescent="0.2">
      <c r="R141" s="8"/>
      <c r="S141" s="8"/>
      <c r="U141" s="8"/>
      <c r="V141" s="8"/>
      <c r="W141" s="8"/>
      <c r="X141" s="8"/>
    </row>
    <row r="142" spans="18:24" x14ac:dyDescent="0.2">
      <c r="R142" s="8"/>
      <c r="S142" s="8"/>
      <c r="U142" s="8"/>
      <c r="V142" s="8"/>
      <c r="W142" s="8"/>
      <c r="X142" s="8"/>
    </row>
    <row r="143" spans="18:24" x14ac:dyDescent="0.2">
      <c r="R143" s="8"/>
      <c r="S143" s="8"/>
      <c r="U143" s="8"/>
      <c r="V143" s="8"/>
      <c r="W143" s="8"/>
      <c r="X143" s="8"/>
    </row>
    <row r="144" spans="18:24" x14ac:dyDescent="0.2">
      <c r="R144" s="8"/>
      <c r="S144" s="8"/>
      <c r="U144" s="8"/>
      <c r="V144" s="8"/>
      <c r="W144" s="8"/>
      <c r="X144" s="8"/>
    </row>
    <row r="145" spans="18:24" x14ac:dyDescent="0.2">
      <c r="R145" s="8"/>
      <c r="S145" s="8"/>
      <c r="U145" s="8"/>
      <c r="V145" s="8"/>
      <c r="W145" s="8"/>
      <c r="X145" s="8"/>
    </row>
    <row r="146" spans="18:24" x14ac:dyDescent="0.2">
      <c r="R146" s="8"/>
      <c r="S146" s="8"/>
      <c r="U146" s="8"/>
      <c r="V146" s="8"/>
      <c r="W146" s="8"/>
      <c r="X146" s="8"/>
    </row>
    <row r="147" spans="18:24" x14ac:dyDescent="0.2">
      <c r="R147" s="8"/>
      <c r="S147" s="8"/>
      <c r="U147" s="8"/>
      <c r="V147" s="8"/>
      <c r="W147" s="8"/>
      <c r="X147" s="8"/>
    </row>
    <row r="148" spans="18:24" x14ac:dyDescent="0.2">
      <c r="R148" s="8"/>
      <c r="S148" s="8"/>
      <c r="U148" s="8"/>
      <c r="V148" s="8"/>
      <c r="W148" s="8"/>
      <c r="X148" s="8"/>
    </row>
    <row r="149" spans="18:24" x14ac:dyDescent="0.2">
      <c r="R149" s="8"/>
      <c r="S149" s="8"/>
      <c r="U149" s="8"/>
      <c r="V149" s="8"/>
      <c r="W149" s="8"/>
      <c r="X149" s="8"/>
    </row>
    <row r="150" spans="18:24" x14ac:dyDescent="0.2">
      <c r="R150" s="8"/>
      <c r="S150" s="8"/>
      <c r="U150" s="8"/>
      <c r="V150" s="8"/>
      <c r="W150" s="8"/>
      <c r="X150" s="8"/>
    </row>
    <row r="151" spans="18:24" x14ac:dyDescent="0.2">
      <c r="R151" s="8"/>
      <c r="S151" s="8"/>
      <c r="U151" s="8"/>
      <c r="V151" s="8"/>
      <c r="W151" s="8"/>
      <c r="X151" s="8"/>
    </row>
    <row r="152" spans="18:24" x14ac:dyDescent="0.2">
      <c r="R152" s="8"/>
      <c r="S152" s="8"/>
      <c r="U152" s="8"/>
      <c r="V152" s="8"/>
      <c r="W152" s="8"/>
      <c r="X152" s="8"/>
    </row>
    <row r="153" spans="18:24" x14ac:dyDescent="0.2">
      <c r="R153" s="8"/>
      <c r="S153" s="8"/>
      <c r="U153" s="8"/>
      <c r="V153" s="8"/>
      <c r="W153" s="8"/>
      <c r="X153" s="8"/>
    </row>
    <row r="154" spans="18:24" x14ac:dyDescent="0.2">
      <c r="R154" s="8"/>
      <c r="S154" s="8"/>
      <c r="U154" s="8"/>
      <c r="V154" s="8"/>
      <c r="W154" s="8"/>
      <c r="X154" s="8"/>
    </row>
    <row r="155" spans="18:24" x14ac:dyDescent="0.2">
      <c r="R155" s="8"/>
      <c r="S155" s="8"/>
      <c r="U155" s="8"/>
      <c r="V155" s="8"/>
      <c r="W155" s="8"/>
      <c r="X155" s="8"/>
    </row>
    <row r="156" spans="18:24" x14ac:dyDescent="0.2">
      <c r="R156" s="8"/>
      <c r="S156" s="8"/>
      <c r="U156" s="8"/>
      <c r="V156" s="8"/>
      <c r="W156" s="8"/>
      <c r="X156" s="8"/>
    </row>
    <row r="157" spans="18:24" x14ac:dyDescent="0.2">
      <c r="R157" s="8"/>
      <c r="S157" s="8"/>
      <c r="U157" s="8"/>
      <c r="V157" s="8"/>
      <c r="W157" s="8"/>
      <c r="X157" s="8"/>
    </row>
    <row r="158" spans="18:24" x14ac:dyDescent="0.2">
      <c r="R158" s="8"/>
      <c r="S158" s="8"/>
      <c r="U158" s="8"/>
      <c r="V158" s="8"/>
      <c r="W158" s="8"/>
      <c r="X158" s="8"/>
    </row>
    <row r="159" spans="18:24" x14ac:dyDescent="0.2">
      <c r="R159" s="8"/>
      <c r="S159" s="8"/>
      <c r="U159" s="8"/>
      <c r="V159" s="8"/>
      <c r="W159" s="8"/>
      <c r="X159" s="8"/>
    </row>
    <row r="160" spans="18:24" x14ac:dyDescent="0.2">
      <c r="R160" s="8"/>
      <c r="S160" s="8"/>
      <c r="U160" s="8"/>
      <c r="V160" s="8"/>
      <c r="W160" s="8"/>
      <c r="X160" s="8"/>
    </row>
  </sheetData>
  <dataValidations disablePrompts="1" count="1">
    <dataValidation type="list" allowBlank="1" showInputMessage="1" showErrorMessage="1" sqref="K2:L72 T2:T72" xr:uid="{5B0ED5AB-E850-4962-A8FD-C335B7D9D507}">
      <formula1>"1,0"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17</vt:i4>
      </vt:variant>
    </vt:vector>
  </HeadingPairs>
  <TitlesOfParts>
    <vt:vector size="29" baseType="lpstr">
      <vt:lpstr>Database</vt:lpstr>
      <vt:lpstr>Contacts</vt:lpstr>
      <vt:lpstr>Actions</vt:lpstr>
      <vt:lpstr>Status</vt:lpstr>
      <vt:lpstr>Users</vt:lpstr>
      <vt:lpstr>Permit &amp; App</vt:lpstr>
      <vt:lpstr>Details</vt:lpstr>
      <vt:lpstr>Permit Categories</vt:lpstr>
      <vt:lpstr>Inspections</vt:lpstr>
      <vt:lpstr>Submittals</vt:lpstr>
      <vt:lpstr>Reviews</vt:lpstr>
      <vt:lpstr>Fees</vt:lpstr>
      <vt:lpstr>Acc</vt:lpstr>
      <vt:lpstr>AG</vt:lpstr>
      <vt:lpstr>BLD</vt:lpstr>
      <vt:lpstr>Com</vt:lpstr>
      <vt:lpstr>DEM</vt:lpstr>
      <vt:lpstr>DEMO</vt:lpstr>
      <vt:lpstr>ELC</vt:lpstr>
      <vt:lpstr>GRADE</vt:lpstr>
      <vt:lpstr>GRD</vt:lpstr>
      <vt:lpstr>MCH</vt:lpstr>
      <vt:lpstr>PLB</vt:lpstr>
      <vt:lpstr>POOL</vt:lpstr>
      <vt:lpstr>Users!Print_Area</vt:lpstr>
      <vt:lpstr>Database!Print_Area</vt:lpstr>
      <vt:lpstr>Actions!Print_Area</vt:lpstr>
      <vt:lpstr>Permit &amp; App!Print_Area</vt:lpstr>
      <vt:lpstr>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Scott Doolittle</dc:creator>
  <cp:keywords/>
  <dc:description/>
  <cp:lastModifiedBy>Scott Doolittle</cp:lastModifiedBy>
  <cp:revision/>
  <dcterms:created xsi:type="dcterms:W3CDTF">2023-08-15T20:30:38Z</dcterms:created>
  <dcterms:modified xsi:type="dcterms:W3CDTF">2023-09-09T19:19:08Z</dcterms:modified>
  <cp:category/>
  <cp:contentStatus/>
</cp:coreProperties>
</file>